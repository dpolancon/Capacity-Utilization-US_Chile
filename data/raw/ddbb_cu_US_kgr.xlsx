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a\OneDrive\Documents\tesis\paper_cap_utilization\data\"/>
    </mc:Choice>
  </mc:AlternateContent>
  <xr:revisionPtr revIDLastSave="0" documentId="13_ncr:1_{BBB73FDE-3354-4E60-8EA4-F5220750CCAE}" xr6:coauthVersionLast="47" xr6:coauthVersionMax="47" xr10:uidLastSave="{00000000-0000-0000-0000-000000000000}"/>
  <bookViews>
    <workbookView xWindow="-120" yWindow="-120" windowWidth="29040" windowHeight="15720" xr2:uid="{1F5B9D2B-E4E5-48AB-BC8A-8EC097047757}"/>
  </bookViews>
  <sheets>
    <sheet name="us_data" sheetId="1" r:id="rId1"/>
    <sheet name="wage_sha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2" i="1"/>
  <c r="F17" i="1"/>
  <c r="F33" i="1"/>
  <c r="F34" i="1"/>
  <c r="F41" i="1"/>
  <c r="F65" i="1"/>
  <c r="F93" i="1"/>
  <c r="F94" i="1"/>
  <c r="F95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E34" i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E94" i="1"/>
  <c r="E95" i="1"/>
  <c r="E96" i="1"/>
  <c r="F96" i="1" s="1"/>
  <c r="E97" i="1"/>
  <c r="F97" i="1" s="1"/>
  <c r="E98" i="1"/>
  <c r="F98" i="1" s="1"/>
  <c r="E99" i="1"/>
  <c r="F99" i="1" s="1"/>
  <c r="E100" i="1"/>
  <c r="F100" i="1" s="1"/>
  <c r="E2" i="1"/>
  <c r="F2" i="1" s="1"/>
  <c r="CV4" i="2"/>
  <c r="CW4" i="2"/>
  <c r="D4" i="2"/>
  <c r="C4" i="2" s="1"/>
  <c r="B4" i="2" s="1"/>
  <c r="E4" i="2"/>
  <c r="E5" i="2"/>
  <c r="D5" i="2"/>
  <c r="C5" i="2"/>
  <c r="B5" i="2"/>
  <c r="F5" i="2"/>
  <c r="G4" i="2" l="1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F4" i="2"/>
</calcChain>
</file>

<file path=xl/sharedStrings.xml><?xml version="1.0" encoding="utf-8"?>
<sst xmlns="http://schemas.openxmlformats.org/spreadsheetml/2006/main" count="10" uniqueCount="9">
  <si>
    <t>year</t>
  </si>
  <si>
    <t>KGCRcorp</t>
  </si>
  <si>
    <t>Yrgdp</t>
  </si>
  <si>
    <t>Wsh</t>
  </si>
  <si>
    <t>DyL</t>
  </si>
  <si>
    <t>DyL_1929=1</t>
  </si>
  <si>
    <t>Psh</t>
  </si>
  <si>
    <t>e</t>
  </si>
  <si>
    <t>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</si>
</sst>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2">
    <cellStyle name="Normal" xfId="0" builtinId="0"/>
    <cellStyle name="Normal 2" xfId="1" xr:uid="{D345BE54-E53E-4C65-BBAE-5C264F8D7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7CB6-FAD1-4BC1-B52F-F132221FAD15}">
  <dimension ref="A1:G100"/>
  <sheetViews>
    <sheetView tabSelected="1" topLeftCell="A76" zoomScaleNormal="100" workbookViewId="0">
      <selection activeCell="M21" sqref="M21"/>
    </sheetView>
  </sheetViews>
  <sheetFormatPr defaultRowHeight="15" x14ac:dyDescent="0.25"/>
  <cols>
    <col min="2" max="2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</row>
    <row r="2" spans="1:7" x14ac:dyDescent="0.25">
      <c r="A2" s="2">
        <v>1925</v>
      </c>
      <c r="B2">
        <v>10.312549106027674</v>
      </c>
      <c r="C2">
        <v>5.5596800365558616</v>
      </c>
      <c r="D2">
        <v>0.66905169432018829</v>
      </c>
      <c r="E2">
        <f>1-D2</f>
        <v>0.33094830567981171</v>
      </c>
      <c r="F2">
        <f>E2/D2</f>
        <v>0.49465281754660601</v>
      </c>
      <c r="G2">
        <f>C2/B2</f>
        <v>0.53911792122339897</v>
      </c>
    </row>
    <row r="3" spans="1:7" x14ac:dyDescent="0.25">
      <c r="A3" s="2">
        <v>1926</v>
      </c>
      <c r="B3">
        <v>10.756575358260767</v>
      </c>
      <c r="C3">
        <v>6.391906227357854</v>
      </c>
      <c r="D3">
        <v>0.68092443736457819</v>
      </c>
      <c r="E3">
        <f t="shared" ref="E3:E66" si="0">1-D3</f>
        <v>0.31907556263542181</v>
      </c>
      <c r="F3">
        <f t="shared" ref="F3:F66" si="1">E3/D3</f>
        <v>0.4685917337177069</v>
      </c>
      <c r="G3">
        <f t="shared" ref="G3:G66" si="2">C3/B3</f>
        <v>0.59423245916731648</v>
      </c>
    </row>
    <row r="4" spans="1:7" x14ac:dyDescent="0.25">
      <c r="A4" s="2">
        <v>1927</v>
      </c>
      <c r="B4">
        <v>11.448754121399013</v>
      </c>
      <c r="C4">
        <v>6.8982368091494219</v>
      </c>
      <c r="D4">
        <v>0.70197383836079064</v>
      </c>
      <c r="E4">
        <f t="shared" si="0"/>
        <v>0.29802616163920936</v>
      </c>
      <c r="F4">
        <f t="shared" si="1"/>
        <v>0.42455451379091719</v>
      </c>
      <c r="G4">
        <f t="shared" si="2"/>
        <v>0.60253165855451807</v>
      </c>
    </row>
    <row r="5" spans="1:7" x14ac:dyDescent="0.25">
      <c r="A5" s="2">
        <v>1928</v>
      </c>
      <c r="B5">
        <v>11.956196198166509</v>
      </c>
      <c r="C5">
        <v>7.3738501433986334</v>
      </c>
      <c r="D5">
        <v>0.6965377327655432</v>
      </c>
      <c r="E5">
        <f t="shared" si="0"/>
        <v>0.3034622672344568</v>
      </c>
      <c r="F5">
        <f t="shared" si="1"/>
        <v>0.43567240216777048</v>
      </c>
      <c r="G5">
        <f t="shared" si="2"/>
        <v>0.61673880397926373</v>
      </c>
    </row>
    <row r="6" spans="1:7" x14ac:dyDescent="0.25">
      <c r="A6" s="2">
        <v>1929</v>
      </c>
      <c r="B6">
        <v>12.186271983087384</v>
      </c>
      <c r="C6">
        <v>7.7922964634879364</v>
      </c>
      <c r="D6">
        <v>0.68951612903225812</v>
      </c>
      <c r="E6">
        <f t="shared" si="0"/>
        <v>0.31048387096774188</v>
      </c>
      <c r="F6">
        <f t="shared" si="1"/>
        <v>0.45029239766081858</v>
      </c>
      <c r="G6">
        <f t="shared" si="2"/>
        <v>0.63943234438739016</v>
      </c>
    </row>
    <row r="7" spans="1:7" x14ac:dyDescent="0.25">
      <c r="A7" s="2">
        <v>1930</v>
      </c>
      <c r="B7">
        <v>11.849115821266235</v>
      </c>
      <c r="C7">
        <v>6.2849498902123377</v>
      </c>
      <c r="D7">
        <v>0.71461716937354991</v>
      </c>
      <c r="E7">
        <f t="shared" si="0"/>
        <v>0.28538283062645009</v>
      </c>
      <c r="F7">
        <f t="shared" si="1"/>
        <v>0.39935064935064929</v>
      </c>
      <c r="G7">
        <f t="shared" si="2"/>
        <v>0.53041509468009462</v>
      </c>
    </row>
    <row r="8" spans="1:7" x14ac:dyDescent="0.25">
      <c r="A8" s="2">
        <v>1931</v>
      </c>
      <c r="B8">
        <v>10.079303885585285</v>
      </c>
      <c r="C8">
        <v>4.938082211945388</v>
      </c>
      <c r="D8">
        <v>0.76737160120845915</v>
      </c>
      <c r="E8">
        <f t="shared" si="0"/>
        <v>0.23262839879154085</v>
      </c>
      <c r="F8">
        <f t="shared" si="1"/>
        <v>0.30314960629921273</v>
      </c>
      <c r="G8">
        <f t="shared" si="2"/>
        <v>0.48992294190152236</v>
      </c>
    </row>
    <row r="9" spans="1:7" x14ac:dyDescent="0.25">
      <c r="A9" s="2">
        <v>1932</v>
      </c>
      <c r="B9">
        <v>9.0686539843301084</v>
      </c>
      <c r="C9">
        <v>3.3063259773555282</v>
      </c>
      <c r="D9">
        <v>0.80508474576271183</v>
      </c>
      <c r="E9">
        <f t="shared" si="0"/>
        <v>0.19491525423728817</v>
      </c>
      <c r="F9">
        <f t="shared" si="1"/>
        <v>0.2421052631578948</v>
      </c>
      <c r="G9">
        <f t="shared" si="2"/>
        <v>0.36458839239743723</v>
      </c>
    </row>
    <row r="10" spans="1:7" x14ac:dyDescent="0.25">
      <c r="A10" s="2">
        <v>1933</v>
      </c>
      <c r="B10">
        <v>8.9982512349654815</v>
      </c>
      <c r="C10">
        <v>3.139225475644313</v>
      </c>
      <c r="D10">
        <v>0.7860262008733625</v>
      </c>
      <c r="E10">
        <f t="shared" si="0"/>
        <v>0.2139737991266375</v>
      </c>
      <c r="F10">
        <f t="shared" si="1"/>
        <v>0.27222222222222214</v>
      </c>
      <c r="G10">
        <f t="shared" si="2"/>
        <v>0.34887061870932029</v>
      </c>
    </row>
    <row r="11" spans="1:7" x14ac:dyDescent="0.25">
      <c r="A11" s="2">
        <v>1934</v>
      </c>
      <c r="B11">
        <v>9.0359493118993441</v>
      </c>
      <c r="C11">
        <v>4.0618687209430702</v>
      </c>
      <c r="D11">
        <v>0.7142857142857143</v>
      </c>
      <c r="E11">
        <f t="shared" si="0"/>
        <v>0.2857142857142857</v>
      </c>
      <c r="F11">
        <f t="shared" si="1"/>
        <v>0.39999999999999997</v>
      </c>
      <c r="G11">
        <f t="shared" si="2"/>
        <v>0.44952318574806954</v>
      </c>
    </row>
    <row r="12" spans="1:7" x14ac:dyDescent="0.25">
      <c r="A12" s="2">
        <v>1935</v>
      </c>
      <c r="B12">
        <v>8.839234779417831</v>
      </c>
      <c r="C12">
        <v>4.9141423682241383</v>
      </c>
      <c r="D12">
        <v>0.70000000000000007</v>
      </c>
      <c r="E12">
        <f t="shared" si="0"/>
        <v>0.29999999999999993</v>
      </c>
      <c r="F12">
        <f t="shared" si="1"/>
        <v>0.42857142857142844</v>
      </c>
      <c r="G12">
        <f t="shared" si="2"/>
        <v>0.55594658257824814</v>
      </c>
    </row>
    <row r="13" spans="1:7" x14ac:dyDescent="0.25">
      <c r="A13" s="2">
        <v>1936</v>
      </c>
      <c r="B13">
        <v>9.4290128428464755</v>
      </c>
      <c r="C13">
        <v>6.3391175279989209</v>
      </c>
      <c r="D13">
        <v>0.68311688311688312</v>
      </c>
      <c r="E13">
        <f t="shared" si="0"/>
        <v>0.31688311688311688</v>
      </c>
      <c r="F13">
        <f t="shared" si="1"/>
        <v>0.46387832699619769</v>
      </c>
      <c r="G13">
        <f t="shared" si="2"/>
        <v>0.67229917210349643</v>
      </c>
    </row>
    <row r="14" spans="1:7" x14ac:dyDescent="0.25">
      <c r="A14" s="2">
        <v>1937</v>
      </c>
      <c r="B14">
        <v>9.8943495157790693</v>
      </c>
      <c r="C14">
        <v>7.3091718698249526</v>
      </c>
      <c r="D14">
        <v>0.69954128440366969</v>
      </c>
      <c r="E14">
        <f t="shared" si="0"/>
        <v>0.30045871559633031</v>
      </c>
      <c r="F14">
        <f t="shared" si="1"/>
        <v>0.42950819672131152</v>
      </c>
      <c r="G14">
        <f t="shared" si="2"/>
        <v>0.73872181876823839</v>
      </c>
    </row>
    <row r="15" spans="1:7" x14ac:dyDescent="0.25">
      <c r="A15" s="2">
        <v>1938</v>
      </c>
      <c r="B15">
        <v>9.6684788479771075</v>
      </c>
      <c r="C15">
        <v>6.6406889022460476</v>
      </c>
      <c r="D15">
        <v>0.71465968586387429</v>
      </c>
      <c r="E15">
        <f t="shared" si="0"/>
        <v>0.28534031413612571</v>
      </c>
      <c r="F15">
        <f t="shared" si="1"/>
        <v>0.39926739926739935</v>
      </c>
      <c r="G15">
        <f t="shared" si="2"/>
        <v>0.68683905779402399</v>
      </c>
    </row>
    <row r="16" spans="1:7" x14ac:dyDescent="0.25">
      <c r="A16" s="2">
        <v>1939</v>
      </c>
      <c r="B16">
        <v>9.8047912361305425</v>
      </c>
      <c r="C16">
        <v>7.6671385287226608</v>
      </c>
      <c r="D16">
        <v>0.70117647058823529</v>
      </c>
      <c r="E16">
        <f t="shared" si="0"/>
        <v>0.29882352941176471</v>
      </c>
      <c r="F16">
        <f t="shared" si="1"/>
        <v>0.4261744966442953</v>
      </c>
      <c r="G16">
        <f t="shared" si="2"/>
        <v>0.78197876365478791</v>
      </c>
    </row>
    <row r="17" spans="1:7" x14ac:dyDescent="0.25">
      <c r="A17" s="2">
        <v>1940</v>
      </c>
      <c r="B17">
        <v>10.314651992450967</v>
      </c>
      <c r="C17">
        <v>9.1917150182161649</v>
      </c>
      <c r="D17">
        <v>0.67006109979633399</v>
      </c>
      <c r="E17">
        <f t="shared" si="0"/>
        <v>0.32993890020366601</v>
      </c>
      <c r="F17">
        <f t="shared" si="1"/>
        <v>0.49240121580547119</v>
      </c>
      <c r="G17">
        <f t="shared" si="2"/>
        <v>0.89113186028412283</v>
      </c>
    </row>
    <row r="18" spans="1:7" x14ac:dyDescent="0.25">
      <c r="A18" s="2">
        <v>1941</v>
      </c>
      <c r="B18">
        <v>11.444609510355754</v>
      </c>
      <c r="C18">
        <v>13.594414936028754</v>
      </c>
      <c r="D18">
        <v>0.64596273291925466</v>
      </c>
      <c r="E18">
        <f t="shared" si="0"/>
        <v>0.35403726708074534</v>
      </c>
      <c r="F18">
        <f t="shared" si="1"/>
        <v>0.54807692307692313</v>
      </c>
      <c r="G18">
        <f t="shared" si="2"/>
        <v>1.1878443667062411</v>
      </c>
    </row>
    <row r="19" spans="1:7" x14ac:dyDescent="0.25">
      <c r="A19" s="2">
        <v>1942</v>
      </c>
      <c r="B19">
        <v>12.075704716988088</v>
      </c>
      <c r="C19">
        <v>20.749745464358877</v>
      </c>
      <c r="D19">
        <v>0.65104808877928488</v>
      </c>
      <c r="E19">
        <f t="shared" si="0"/>
        <v>0.34895191122071512</v>
      </c>
      <c r="F19">
        <f t="shared" si="1"/>
        <v>0.5359848484848484</v>
      </c>
      <c r="G19">
        <f t="shared" si="2"/>
        <v>1.7183051383467631</v>
      </c>
    </row>
    <row r="20" spans="1:7" x14ac:dyDescent="0.25">
      <c r="A20" s="2">
        <v>1943</v>
      </c>
      <c r="B20">
        <v>12.025135830353356</v>
      </c>
      <c r="C20">
        <v>29.709737368285474</v>
      </c>
      <c r="D20">
        <v>0.66150670794633637</v>
      </c>
      <c r="E20">
        <f t="shared" si="0"/>
        <v>0.33849329205366363</v>
      </c>
      <c r="F20">
        <f t="shared" si="1"/>
        <v>0.51170046801872093</v>
      </c>
      <c r="G20">
        <f t="shared" si="2"/>
        <v>2.4706363227343653</v>
      </c>
    </row>
    <row r="21" spans="1:7" x14ac:dyDescent="0.25">
      <c r="A21" s="2">
        <v>1944</v>
      </c>
      <c r="B21">
        <v>11.827976102791082</v>
      </c>
      <c r="C21">
        <v>35.435055997841047</v>
      </c>
      <c r="D21">
        <v>0.66766169154228849</v>
      </c>
      <c r="E21">
        <f t="shared" si="0"/>
        <v>0.33233830845771151</v>
      </c>
      <c r="F21">
        <f t="shared" si="1"/>
        <v>0.49776453055141595</v>
      </c>
      <c r="G21">
        <f t="shared" si="2"/>
        <v>2.9958680749684077</v>
      </c>
    </row>
    <row r="22" spans="1:7" x14ac:dyDescent="0.25">
      <c r="A22" s="2">
        <v>1945</v>
      </c>
      <c r="B22">
        <v>12.30397003696217</v>
      </c>
      <c r="C22">
        <v>35.653929662295603</v>
      </c>
      <c r="D22">
        <v>0.68264110756123531</v>
      </c>
      <c r="E22">
        <f t="shared" si="0"/>
        <v>0.31735889243876469</v>
      </c>
      <c r="F22">
        <f t="shared" si="1"/>
        <v>0.46489859594383787</v>
      </c>
      <c r="G22">
        <f t="shared" si="2"/>
        <v>2.8977581670946999</v>
      </c>
    </row>
    <row r="23" spans="1:7" x14ac:dyDescent="0.25">
      <c r="A23" s="2">
        <v>1946</v>
      </c>
      <c r="B23">
        <v>15.758142190344051</v>
      </c>
      <c r="C23">
        <v>31.445517106021764</v>
      </c>
      <c r="D23">
        <v>0.71472392638036819</v>
      </c>
      <c r="E23">
        <f t="shared" si="0"/>
        <v>0.28527607361963181</v>
      </c>
      <c r="F23">
        <f t="shared" si="1"/>
        <v>0.39914163090128735</v>
      </c>
      <c r="G23">
        <f t="shared" si="2"/>
        <v>1.9955091613077522</v>
      </c>
    </row>
    <row r="24" spans="1:7" x14ac:dyDescent="0.25">
      <c r="A24" s="2">
        <v>1947</v>
      </c>
      <c r="B24">
        <v>20.174289507414297</v>
      </c>
      <c r="C24">
        <v>34.105253860968332</v>
      </c>
      <c r="D24">
        <v>0.69753610875106198</v>
      </c>
      <c r="E24">
        <f t="shared" si="0"/>
        <v>0.30246389124893802</v>
      </c>
      <c r="F24">
        <f t="shared" si="1"/>
        <v>0.43361753958587096</v>
      </c>
      <c r="G24">
        <f t="shared" si="2"/>
        <v>1.6905306057214176</v>
      </c>
    </row>
    <row r="25" spans="1:7" x14ac:dyDescent="0.25">
      <c r="A25" s="2">
        <v>1948</v>
      </c>
      <c r="B25">
        <v>24.068712097578295</v>
      </c>
      <c r="C25">
        <v>39.053139681799784</v>
      </c>
      <c r="D25">
        <v>0.67682020802377418</v>
      </c>
      <c r="E25">
        <f t="shared" si="0"/>
        <v>0.32317979197622582</v>
      </c>
      <c r="F25">
        <f t="shared" si="1"/>
        <v>0.47749725576289781</v>
      </c>
      <c r="G25">
        <f t="shared" si="2"/>
        <v>1.6225687325301119</v>
      </c>
    </row>
    <row r="26" spans="1:7" x14ac:dyDescent="0.25">
      <c r="A26" s="2">
        <v>1949</v>
      </c>
      <c r="B26">
        <v>25.215417441824115</v>
      </c>
      <c r="C26">
        <v>38.551324198672731</v>
      </c>
      <c r="D26">
        <v>0.67993874425727407</v>
      </c>
      <c r="E26">
        <f t="shared" si="0"/>
        <v>0.32006125574272593</v>
      </c>
      <c r="F26">
        <f t="shared" si="1"/>
        <v>0.4707207207207208</v>
      </c>
      <c r="G26">
        <f t="shared" si="2"/>
        <v>1.5288790791434099</v>
      </c>
    </row>
    <row r="27" spans="1:7" x14ac:dyDescent="0.25">
      <c r="A27" s="2">
        <v>1950</v>
      </c>
      <c r="B27">
        <v>31.746066762162627</v>
      </c>
      <c r="C27">
        <v>46.10214300609659</v>
      </c>
      <c r="D27">
        <v>0.66330645161290325</v>
      </c>
      <c r="E27">
        <f t="shared" si="0"/>
        <v>0.33669354838709675</v>
      </c>
      <c r="F27">
        <f t="shared" si="1"/>
        <v>0.50759878419452886</v>
      </c>
      <c r="G27">
        <f t="shared" si="2"/>
        <v>1.4522159028861057</v>
      </c>
    </row>
    <row r="28" spans="1:7" x14ac:dyDescent="0.25">
      <c r="A28" s="2">
        <v>1951</v>
      </c>
      <c r="B28">
        <v>37.295294527970007</v>
      </c>
      <c r="C28">
        <v>57.634396045190819</v>
      </c>
      <c r="D28">
        <v>0.67135325131810197</v>
      </c>
      <c r="E28">
        <f t="shared" si="0"/>
        <v>0.32864674868189803</v>
      </c>
      <c r="F28">
        <f t="shared" si="1"/>
        <v>0.48952879581151826</v>
      </c>
      <c r="G28">
        <f t="shared" si="2"/>
        <v>1.545353020391548</v>
      </c>
    </row>
    <row r="29" spans="1:7" x14ac:dyDescent="0.25">
      <c r="A29" s="2">
        <v>1952</v>
      </c>
      <c r="B29">
        <v>41.640485677608176</v>
      </c>
      <c r="C29">
        <v>63.515267231756233</v>
      </c>
      <c r="D29">
        <v>0.68753493571827839</v>
      </c>
      <c r="E29">
        <f t="shared" si="0"/>
        <v>0.31246506428172161</v>
      </c>
      <c r="F29">
        <f t="shared" si="1"/>
        <v>0.4544715447154471</v>
      </c>
      <c r="G29">
        <f t="shared" si="2"/>
        <v>1.5253248418740475</v>
      </c>
    </row>
    <row r="30" spans="1:7" x14ac:dyDescent="0.25">
      <c r="A30" s="2">
        <v>1953</v>
      </c>
      <c r="B30">
        <v>45.626794606177889</v>
      </c>
      <c r="C30">
        <v>70.458085646643198</v>
      </c>
      <c r="D30">
        <v>0.6982803543512246</v>
      </c>
      <c r="E30">
        <f t="shared" si="0"/>
        <v>0.3017196456487754</v>
      </c>
      <c r="F30">
        <f t="shared" si="1"/>
        <v>0.43208955223880596</v>
      </c>
      <c r="G30">
        <f t="shared" si="2"/>
        <v>1.5442260683616627</v>
      </c>
    </row>
    <row r="31" spans="1:7" x14ac:dyDescent="0.25">
      <c r="A31" s="2">
        <v>1954</v>
      </c>
      <c r="B31">
        <v>48.319120268175467</v>
      </c>
      <c r="C31">
        <v>70.286263662123872</v>
      </c>
      <c r="D31">
        <v>0.70132625994694953</v>
      </c>
      <c r="E31">
        <f t="shared" si="0"/>
        <v>0.29867374005305047</v>
      </c>
      <c r="F31">
        <f t="shared" si="1"/>
        <v>0.42586989409984888</v>
      </c>
      <c r="G31">
        <f t="shared" si="2"/>
        <v>1.4546263109102313</v>
      </c>
    </row>
    <row r="32" spans="1:7" x14ac:dyDescent="0.25">
      <c r="A32" s="2">
        <v>1955</v>
      </c>
      <c r="B32">
        <v>57.806918718809996</v>
      </c>
      <c r="C32">
        <v>82.050759926889995</v>
      </c>
      <c r="D32">
        <v>0.67728337236533953</v>
      </c>
      <c r="E32">
        <f t="shared" si="0"/>
        <v>0.32271662763466047</v>
      </c>
      <c r="F32">
        <f t="shared" si="1"/>
        <v>0.47648686030428777</v>
      </c>
      <c r="G32">
        <f t="shared" si="2"/>
        <v>1.4193934176981347</v>
      </c>
    </row>
    <row r="33" spans="1:7" x14ac:dyDescent="0.25">
      <c r="A33" s="2">
        <v>1956</v>
      </c>
      <c r="B33">
        <v>69.897415562800361</v>
      </c>
      <c r="C33">
        <v>88.506237656554745</v>
      </c>
      <c r="D33">
        <v>0.69385964912280695</v>
      </c>
      <c r="E33">
        <f t="shared" si="0"/>
        <v>0.30614035087719305</v>
      </c>
      <c r="F33">
        <f t="shared" si="1"/>
        <v>0.44121365360303427</v>
      </c>
      <c r="G33">
        <f t="shared" si="2"/>
        <v>1.2662304742445736</v>
      </c>
    </row>
    <row r="34" spans="1:7" x14ac:dyDescent="0.25">
      <c r="A34" s="2">
        <v>1957</v>
      </c>
      <c r="B34">
        <v>79.145075411896144</v>
      </c>
      <c r="C34">
        <v>95.31632340133217</v>
      </c>
      <c r="D34">
        <v>0.70223534373681995</v>
      </c>
      <c r="E34">
        <f t="shared" si="0"/>
        <v>0.29776465626318005</v>
      </c>
      <c r="F34">
        <f t="shared" si="1"/>
        <v>0.42402402402402395</v>
      </c>
      <c r="G34">
        <f t="shared" si="2"/>
        <v>1.204324121308568</v>
      </c>
    </row>
    <row r="35" spans="1:7" x14ac:dyDescent="0.25">
      <c r="A35" s="2">
        <v>1958</v>
      </c>
      <c r="B35">
        <v>82.655819966735592</v>
      </c>
      <c r="C35">
        <v>96.049930692704933</v>
      </c>
      <c r="D35">
        <v>0.71180555555555558</v>
      </c>
      <c r="E35">
        <f t="shared" si="0"/>
        <v>0.28819444444444442</v>
      </c>
      <c r="F35">
        <f t="shared" si="1"/>
        <v>0.40487804878048778</v>
      </c>
      <c r="G35">
        <f t="shared" si="2"/>
        <v>1.1620467951483602</v>
      </c>
    </row>
    <row r="36" spans="1:7" x14ac:dyDescent="0.25">
      <c r="A36" s="2">
        <v>1959</v>
      </c>
      <c r="B36">
        <v>89.339106086569288</v>
      </c>
      <c r="C36">
        <v>111.35265759742886</v>
      </c>
      <c r="D36">
        <v>0.6939953810623557</v>
      </c>
      <c r="E36">
        <f t="shared" si="0"/>
        <v>0.3060046189376443</v>
      </c>
      <c r="F36">
        <f t="shared" si="1"/>
        <v>0.44093178036605651</v>
      </c>
      <c r="G36">
        <f t="shared" si="2"/>
        <v>1.2464044299875634</v>
      </c>
    </row>
    <row r="37" spans="1:7" x14ac:dyDescent="0.25">
      <c r="A37" s="2">
        <v>1960</v>
      </c>
      <c r="B37">
        <v>92.37356705911597</v>
      </c>
      <c r="C37">
        <v>118.75167380184246</v>
      </c>
      <c r="D37">
        <v>0.7026529108327193</v>
      </c>
      <c r="E37">
        <f t="shared" si="0"/>
        <v>0.2973470891672807</v>
      </c>
      <c r="F37">
        <f t="shared" si="1"/>
        <v>0.42317776612480323</v>
      </c>
      <c r="G37">
        <f t="shared" si="2"/>
        <v>1.2855590357991198</v>
      </c>
    </row>
    <row r="38" spans="1:7" x14ac:dyDescent="0.25">
      <c r="A38" s="2">
        <v>1961</v>
      </c>
      <c r="B38">
        <v>96.576886651054878</v>
      </c>
      <c r="C38">
        <v>126.23828216042493</v>
      </c>
      <c r="D38">
        <v>0.70057306590257884</v>
      </c>
      <c r="E38">
        <f t="shared" si="0"/>
        <v>0.29942693409742116</v>
      </c>
      <c r="F38">
        <f t="shared" si="1"/>
        <v>0.42740286298568497</v>
      </c>
      <c r="G38">
        <f t="shared" si="2"/>
        <v>1.3071272696596714</v>
      </c>
    </row>
    <row r="39" spans="1:7" x14ac:dyDescent="0.25">
      <c r="A39" s="2">
        <v>1962</v>
      </c>
      <c r="B39">
        <v>101.73721917155564</v>
      </c>
      <c r="C39">
        <v>143.91341249493993</v>
      </c>
      <c r="D39">
        <v>0.69157653228449678</v>
      </c>
      <c r="E39">
        <f t="shared" si="0"/>
        <v>0.30842346771550322</v>
      </c>
      <c r="F39">
        <f t="shared" si="1"/>
        <v>0.44597156398104287</v>
      </c>
      <c r="G39">
        <f t="shared" si="2"/>
        <v>1.4145601154309533</v>
      </c>
    </row>
    <row r="40" spans="1:7" x14ac:dyDescent="0.25">
      <c r="A40" s="2">
        <v>1963</v>
      </c>
      <c r="B40">
        <v>107.18743433225848</v>
      </c>
      <c r="C40">
        <v>158.54411746666506</v>
      </c>
      <c r="D40">
        <v>0.68544167436134196</v>
      </c>
      <c r="E40">
        <f t="shared" si="0"/>
        <v>0.31455832563865804</v>
      </c>
      <c r="F40">
        <f t="shared" si="1"/>
        <v>0.45891333632689718</v>
      </c>
      <c r="G40">
        <f t="shared" si="2"/>
        <v>1.4791296988713405</v>
      </c>
    </row>
    <row r="41" spans="1:7" x14ac:dyDescent="0.25">
      <c r="A41" s="2">
        <v>1964</v>
      </c>
      <c r="B41">
        <v>116.68256211752075</v>
      </c>
      <c r="C41">
        <v>180.04010009690757</v>
      </c>
      <c r="D41">
        <v>0.68031854379977241</v>
      </c>
      <c r="E41">
        <f t="shared" si="0"/>
        <v>0.31968145620022759</v>
      </c>
      <c r="F41">
        <f t="shared" si="1"/>
        <v>0.4698996655518396</v>
      </c>
      <c r="G41">
        <f t="shared" si="2"/>
        <v>1.5429906305586105</v>
      </c>
    </row>
    <row r="42" spans="1:7" x14ac:dyDescent="0.25">
      <c r="A42" s="2">
        <v>1965</v>
      </c>
      <c r="B42">
        <v>128.70018018306368</v>
      </c>
      <c r="C42">
        <v>207.9361489677506</v>
      </c>
      <c r="D42">
        <v>0.67227108122090007</v>
      </c>
      <c r="E42">
        <f t="shared" si="0"/>
        <v>0.32772891877909993</v>
      </c>
      <c r="F42">
        <f t="shared" si="1"/>
        <v>0.4874951904578686</v>
      </c>
      <c r="G42">
        <f t="shared" si="2"/>
        <v>1.6156632311779311</v>
      </c>
    </row>
    <row r="43" spans="1:7" x14ac:dyDescent="0.25">
      <c r="A43" s="2">
        <v>1966</v>
      </c>
      <c r="B43">
        <v>145.47010405714502</v>
      </c>
      <c r="C43">
        <v>242.87953778780923</v>
      </c>
      <c r="D43">
        <v>0.68010372465818014</v>
      </c>
      <c r="E43">
        <f t="shared" si="0"/>
        <v>0.31989627534181986</v>
      </c>
      <c r="F43">
        <f t="shared" si="1"/>
        <v>0.47036395147313681</v>
      </c>
      <c r="G43">
        <f t="shared" si="2"/>
        <v>1.6696182309211716</v>
      </c>
    </row>
    <row r="44" spans="1:7" x14ac:dyDescent="0.25">
      <c r="A44" s="2">
        <v>1967</v>
      </c>
      <c r="B44">
        <v>165.30101429175923</v>
      </c>
      <c r="C44">
        <v>263.83066939806918</v>
      </c>
      <c r="D44">
        <v>0.69132481506388699</v>
      </c>
      <c r="E44">
        <f t="shared" si="0"/>
        <v>0.30867518493611301</v>
      </c>
      <c r="F44">
        <f t="shared" si="1"/>
        <v>0.44649805447470825</v>
      </c>
      <c r="G44">
        <f t="shared" si="2"/>
        <v>1.5960620116486604</v>
      </c>
    </row>
    <row r="45" spans="1:7" x14ac:dyDescent="0.25">
      <c r="A45" s="2">
        <v>1968</v>
      </c>
      <c r="B45">
        <v>193.16592729573435</v>
      </c>
      <c r="C45">
        <v>302.76967407171156</v>
      </c>
      <c r="D45">
        <v>0.69132290184921763</v>
      </c>
      <c r="E45">
        <f t="shared" si="0"/>
        <v>0.30867709815078237</v>
      </c>
      <c r="F45">
        <f t="shared" si="1"/>
        <v>0.44650205761316875</v>
      </c>
      <c r="G45">
        <f t="shared" si="2"/>
        <v>1.5674072457311552</v>
      </c>
    </row>
    <row r="46" spans="1:7" x14ac:dyDescent="0.25">
      <c r="A46" s="2">
        <v>1969</v>
      </c>
      <c r="B46">
        <v>226.2576210038479</v>
      </c>
      <c r="C46">
        <v>337.75617080261532</v>
      </c>
      <c r="D46">
        <v>0.70573939054028789</v>
      </c>
      <c r="E46">
        <f t="shared" si="0"/>
        <v>0.29426060945971211</v>
      </c>
      <c r="F46">
        <f t="shared" si="1"/>
        <v>0.41695364238410598</v>
      </c>
      <c r="G46">
        <f t="shared" si="2"/>
        <v>1.4927946705356334</v>
      </c>
    </row>
    <row r="47" spans="1:7" x14ac:dyDescent="0.25">
      <c r="A47" s="2">
        <v>1970</v>
      </c>
      <c r="B47">
        <v>266.70331196763016</v>
      </c>
      <c r="C47">
        <v>356.90210375240724</v>
      </c>
      <c r="D47">
        <v>0.72324186807196078</v>
      </c>
      <c r="E47">
        <f t="shared" si="0"/>
        <v>0.27675813192803922</v>
      </c>
      <c r="F47">
        <f t="shared" si="1"/>
        <v>0.38266331658291453</v>
      </c>
      <c r="G47">
        <f t="shared" si="2"/>
        <v>1.3381989939282213</v>
      </c>
    </row>
    <row r="48" spans="1:7" x14ac:dyDescent="0.25">
      <c r="A48" s="2">
        <v>1971</v>
      </c>
      <c r="B48">
        <v>313.23279501967204</v>
      </c>
      <c r="C48">
        <v>400.10794764539202</v>
      </c>
      <c r="D48">
        <v>0.71077026799258392</v>
      </c>
      <c r="E48">
        <f t="shared" si="0"/>
        <v>0.28922973200741608</v>
      </c>
      <c r="F48">
        <f t="shared" si="1"/>
        <v>0.4069243538060231</v>
      </c>
      <c r="G48">
        <f t="shared" si="2"/>
        <v>1.2773501178899991</v>
      </c>
    </row>
    <row r="49" spans="1:7" x14ac:dyDescent="0.25">
      <c r="A49" s="2">
        <v>1972</v>
      </c>
      <c r="B49">
        <v>359.13027359382107</v>
      </c>
      <c r="C49">
        <v>462.42851780522807</v>
      </c>
      <c r="D49">
        <v>0.70993176648976497</v>
      </c>
      <c r="E49">
        <f t="shared" si="0"/>
        <v>0.29006823351023503</v>
      </c>
      <c r="F49">
        <f t="shared" si="1"/>
        <v>0.40858607432721061</v>
      </c>
      <c r="G49">
        <f t="shared" si="2"/>
        <v>1.2876344652810809</v>
      </c>
    </row>
    <row r="50" spans="1:7" x14ac:dyDescent="0.25">
      <c r="A50" s="2">
        <v>1973</v>
      </c>
      <c r="B50">
        <v>441.0715163935032</v>
      </c>
      <c r="C50">
        <v>544.41499000257602</v>
      </c>
      <c r="D50">
        <v>0.71267949065293956</v>
      </c>
      <c r="E50">
        <f t="shared" si="0"/>
        <v>0.28732050934706044</v>
      </c>
      <c r="F50">
        <f t="shared" si="1"/>
        <v>0.40315529367040492</v>
      </c>
      <c r="G50">
        <f t="shared" si="2"/>
        <v>1.2343009461460546</v>
      </c>
    </row>
    <row r="51" spans="1:7" x14ac:dyDescent="0.25">
      <c r="A51" s="2">
        <v>1974</v>
      </c>
      <c r="B51">
        <v>635.27806960724911</v>
      </c>
      <c r="C51">
        <v>586.9678782154291</v>
      </c>
      <c r="D51">
        <v>0.72753623188405792</v>
      </c>
      <c r="E51">
        <f t="shared" si="0"/>
        <v>0.27246376811594208</v>
      </c>
      <c r="F51">
        <f t="shared" si="1"/>
        <v>0.37450199203187262</v>
      </c>
      <c r="G51">
        <f t="shared" si="2"/>
        <v>0.92395425924007257</v>
      </c>
    </row>
    <row r="52" spans="1:7" x14ac:dyDescent="0.25">
      <c r="A52" s="2">
        <v>1975</v>
      </c>
      <c r="B52">
        <v>770.12310080264263</v>
      </c>
      <c r="C52">
        <v>638.73295960550047</v>
      </c>
      <c r="D52">
        <v>0.71338028169014078</v>
      </c>
      <c r="E52">
        <f t="shared" si="0"/>
        <v>0.28661971830985922</v>
      </c>
      <c r="F52">
        <f t="shared" si="1"/>
        <v>0.40177690029615015</v>
      </c>
      <c r="G52">
        <f t="shared" si="2"/>
        <v>0.82939072849495898</v>
      </c>
    </row>
    <row r="53" spans="1:7" x14ac:dyDescent="0.25">
      <c r="A53" s="2">
        <v>1976</v>
      </c>
      <c r="B53">
        <v>915.07921004795151</v>
      </c>
      <c r="C53">
        <v>748.45456508139023</v>
      </c>
      <c r="D53">
        <v>0.70955003637119396</v>
      </c>
      <c r="E53">
        <f t="shared" si="0"/>
        <v>0.29044996362880604</v>
      </c>
      <c r="F53">
        <f t="shared" si="1"/>
        <v>0.40934387814879919</v>
      </c>
      <c r="G53">
        <f t="shared" si="2"/>
        <v>0.81791232590910912</v>
      </c>
    </row>
    <row r="54" spans="1:7" x14ac:dyDescent="0.25">
      <c r="A54" s="2">
        <v>1977</v>
      </c>
      <c r="B54">
        <v>1104.5070767682016</v>
      </c>
      <c r="C54">
        <v>870.17253223095906</v>
      </c>
      <c r="D54">
        <v>0.70662027286878504</v>
      </c>
      <c r="E54">
        <f t="shared" si="0"/>
        <v>0.29337972713121496</v>
      </c>
      <c r="F54">
        <f t="shared" si="1"/>
        <v>0.41518724893093145</v>
      </c>
      <c r="G54">
        <f t="shared" si="2"/>
        <v>0.78783789668156068</v>
      </c>
    </row>
    <row r="55" spans="1:7" x14ac:dyDescent="0.25">
      <c r="A55" s="2">
        <v>1978</v>
      </c>
      <c r="B55">
        <v>1372.4643060508881</v>
      </c>
      <c r="C55">
        <v>1037.3509598753694</v>
      </c>
      <c r="D55">
        <v>0.70912151330554674</v>
      </c>
      <c r="E55">
        <f t="shared" si="0"/>
        <v>0.29087848669445326</v>
      </c>
      <c r="F55">
        <f t="shared" si="1"/>
        <v>0.41019554651294204</v>
      </c>
      <c r="G55">
        <f t="shared" si="2"/>
        <v>0.75583092055794898</v>
      </c>
    </row>
    <row r="56" spans="1:7" x14ac:dyDescent="0.25">
      <c r="A56" s="2">
        <v>1979</v>
      </c>
      <c r="B56">
        <v>1751.1250370081623</v>
      </c>
      <c r="C56">
        <v>1195.6775554765034</v>
      </c>
      <c r="D56">
        <v>0.72729905865314992</v>
      </c>
      <c r="E56">
        <f t="shared" si="0"/>
        <v>0.27270094134685008</v>
      </c>
      <c r="F56">
        <f t="shared" si="1"/>
        <v>0.37495021903624048</v>
      </c>
      <c r="G56">
        <f t="shared" si="2"/>
        <v>0.68280535667478448</v>
      </c>
    </row>
    <row r="57" spans="1:7" x14ac:dyDescent="0.25">
      <c r="A57" s="2">
        <v>1980</v>
      </c>
      <c r="B57">
        <v>2230.9736462561164</v>
      </c>
      <c r="C57">
        <v>1296.9851841856698</v>
      </c>
      <c r="D57">
        <v>0.73944843320136888</v>
      </c>
      <c r="E57">
        <f t="shared" si="0"/>
        <v>0.26055156679863112</v>
      </c>
      <c r="F57">
        <f t="shared" si="1"/>
        <v>0.35235934664246821</v>
      </c>
      <c r="G57">
        <f t="shared" si="2"/>
        <v>0.58135387944281236</v>
      </c>
    </row>
    <row r="58" spans="1:7" x14ac:dyDescent="0.25">
      <c r="A58" s="2">
        <v>1981</v>
      </c>
      <c r="B58">
        <v>2762.6015609798296</v>
      </c>
      <c r="C58">
        <v>1492.6607990579112</v>
      </c>
      <c r="D58">
        <v>0.72212033366857953</v>
      </c>
      <c r="E58">
        <f t="shared" si="0"/>
        <v>0.27787966633142047</v>
      </c>
      <c r="F58">
        <f t="shared" si="1"/>
        <v>0.38481074881205968</v>
      </c>
      <c r="G58">
        <f t="shared" si="2"/>
        <v>0.54030983698152246</v>
      </c>
    </row>
    <row r="59" spans="1:7" x14ac:dyDescent="0.25">
      <c r="A59" s="2">
        <v>1982</v>
      </c>
      <c r="B59">
        <v>3076.4413205539599</v>
      </c>
      <c r="C59">
        <v>1528.2766918953398</v>
      </c>
      <c r="D59">
        <v>0.73029782359679263</v>
      </c>
      <c r="E59">
        <f t="shared" si="0"/>
        <v>0.26970217640320737</v>
      </c>
      <c r="F59">
        <f t="shared" si="1"/>
        <v>0.36930436828484048</v>
      </c>
      <c r="G59">
        <f t="shared" si="2"/>
        <v>0.49676770419276206</v>
      </c>
    </row>
    <row r="60" spans="1:7" x14ac:dyDescent="0.25">
      <c r="A60" s="2">
        <v>1983</v>
      </c>
      <c r="B60">
        <v>3230.7612681400533</v>
      </c>
      <c r="C60">
        <v>1737.0503060561082</v>
      </c>
      <c r="D60">
        <v>0.71716315064136549</v>
      </c>
      <c r="E60">
        <f t="shared" si="0"/>
        <v>0.28283684935863451</v>
      </c>
      <c r="F60">
        <f t="shared" si="1"/>
        <v>0.39438285291943814</v>
      </c>
      <c r="G60">
        <f t="shared" si="2"/>
        <v>0.53765975319375015</v>
      </c>
    </row>
    <row r="61" spans="1:7" x14ac:dyDescent="0.25">
      <c r="A61" s="2">
        <v>1984</v>
      </c>
      <c r="B61">
        <v>3527.2689409290278</v>
      </c>
      <c r="C61">
        <v>2069.6408434636473</v>
      </c>
      <c r="D61">
        <v>0.70421279789829239</v>
      </c>
      <c r="E61">
        <f t="shared" si="0"/>
        <v>0.29578720210170761</v>
      </c>
      <c r="F61">
        <f t="shared" si="1"/>
        <v>0.42002531476916921</v>
      </c>
      <c r="G61">
        <f t="shared" si="2"/>
        <v>0.58675447722410867</v>
      </c>
    </row>
    <row r="62" spans="1:7" x14ac:dyDescent="0.25">
      <c r="A62" s="2">
        <v>1985</v>
      </c>
      <c r="B62">
        <v>3813.0951803267276</v>
      </c>
      <c r="C62">
        <v>2316.8549330847268</v>
      </c>
      <c r="D62">
        <v>0.71041062164776236</v>
      </c>
      <c r="E62">
        <f t="shared" si="0"/>
        <v>0.28958937835223764</v>
      </c>
      <c r="F62">
        <f t="shared" si="1"/>
        <v>0.40763661117643396</v>
      </c>
      <c r="G62">
        <f t="shared" si="2"/>
        <v>0.60760479964893133</v>
      </c>
    </row>
    <row r="63" spans="1:7" x14ac:dyDescent="0.25">
      <c r="A63" s="2">
        <v>1986</v>
      </c>
      <c r="B63">
        <v>4098.9848346909075</v>
      </c>
      <c r="C63">
        <v>2530.0406668220462</v>
      </c>
      <c r="D63">
        <v>0.73121473121473124</v>
      </c>
      <c r="E63">
        <f t="shared" si="0"/>
        <v>0.26878526878526876</v>
      </c>
      <c r="F63">
        <f t="shared" si="1"/>
        <v>0.36758732737611693</v>
      </c>
      <c r="G63">
        <f t="shared" si="2"/>
        <v>0.61723591788131837</v>
      </c>
    </row>
    <row r="64" spans="1:7" x14ac:dyDescent="0.25">
      <c r="A64" s="2">
        <v>1987</v>
      </c>
      <c r="B64">
        <v>4485.4614249167198</v>
      </c>
      <c r="C64">
        <v>2774.9104942284812</v>
      </c>
      <c r="D64">
        <v>0.73207068705919631</v>
      </c>
      <c r="E64">
        <f t="shared" si="0"/>
        <v>0.26792931294080369</v>
      </c>
      <c r="F64">
        <f t="shared" si="1"/>
        <v>0.36598830915782665</v>
      </c>
      <c r="G64">
        <f t="shared" si="2"/>
        <v>0.61864549292830051</v>
      </c>
    </row>
    <row r="65" spans="1:7" x14ac:dyDescent="0.25">
      <c r="A65" s="2">
        <v>1988</v>
      </c>
      <c r="B65">
        <v>5005.2658774866395</v>
      </c>
      <c r="C65">
        <v>3117.8422688632377</v>
      </c>
      <c r="D65">
        <v>0.73004703394465309</v>
      </c>
      <c r="E65">
        <f t="shared" si="0"/>
        <v>0.26995296605534691</v>
      </c>
      <c r="F65">
        <f t="shared" si="1"/>
        <v>0.36977475902711882</v>
      </c>
      <c r="G65">
        <f t="shared" si="2"/>
        <v>0.62291241767736849</v>
      </c>
    </row>
    <row r="66" spans="1:7" x14ac:dyDescent="0.25">
      <c r="A66" s="2">
        <v>1989</v>
      </c>
      <c r="B66">
        <v>5523.4750468264119</v>
      </c>
      <c r="C66">
        <v>3482.427271500595</v>
      </c>
      <c r="D66">
        <v>0.73256135499481512</v>
      </c>
      <c r="E66">
        <f t="shared" si="0"/>
        <v>0.26743864500518488</v>
      </c>
      <c r="F66">
        <f t="shared" si="1"/>
        <v>0.36507337328363132</v>
      </c>
      <c r="G66">
        <f t="shared" si="2"/>
        <v>0.63047759643658952</v>
      </c>
    </row>
    <row r="67" spans="1:7" x14ac:dyDescent="0.25">
      <c r="A67" s="2">
        <v>1990</v>
      </c>
      <c r="B67">
        <v>6065.3057980406329</v>
      </c>
      <c r="C67">
        <v>3750.2991499122932</v>
      </c>
      <c r="D67">
        <v>0.74185089291641781</v>
      </c>
      <c r="E67">
        <f t="shared" ref="E67:E100" si="3">1-D67</f>
        <v>0.25814910708358219</v>
      </c>
      <c r="F67">
        <f t="shared" ref="F67:F100" si="4">E67/D67</f>
        <v>0.34797977538144864</v>
      </c>
      <c r="G67">
        <f t="shared" ref="G67:G100" si="5">C67/B67</f>
        <v>0.61831987945666467</v>
      </c>
    </row>
    <row r="68" spans="1:7" x14ac:dyDescent="0.25">
      <c r="A68" s="2">
        <v>1991</v>
      </c>
      <c r="B68">
        <v>6341.3423346494337</v>
      </c>
      <c r="C68">
        <v>3868.707859324591</v>
      </c>
      <c r="D68">
        <v>0.74072387889824731</v>
      </c>
      <c r="E68">
        <f t="shared" si="3"/>
        <v>0.25927612110175269</v>
      </c>
      <c r="F68">
        <f t="shared" si="4"/>
        <v>0.3500307314074983</v>
      </c>
      <c r="G68">
        <f t="shared" si="5"/>
        <v>0.61007711855986146</v>
      </c>
    </row>
    <row r="69" spans="1:7" x14ac:dyDescent="0.25">
      <c r="A69" s="2">
        <v>1992</v>
      </c>
      <c r="B69">
        <v>6753.0993468224297</v>
      </c>
      <c r="C69">
        <v>4240.6224862305407</v>
      </c>
      <c r="D69">
        <v>0.74522783251231528</v>
      </c>
      <c r="E69">
        <f t="shared" si="3"/>
        <v>0.25477216748768472</v>
      </c>
      <c r="F69">
        <f t="shared" si="4"/>
        <v>0.34187151414996902</v>
      </c>
      <c r="G69">
        <f t="shared" si="5"/>
        <v>0.62795203630846963</v>
      </c>
    </row>
    <row r="70" spans="1:7" x14ac:dyDescent="0.25">
      <c r="A70" s="2">
        <v>1993</v>
      </c>
      <c r="B70">
        <v>7313.8321210132844</v>
      </c>
      <c r="C70">
        <v>4583.3092356570696</v>
      </c>
      <c r="D70">
        <v>0.73954199370902785</v>
      </c>
      <c r="E70">
        <f t="shared" si="3"/>
        <v>0.26045800629097215</v>
      </c>
      <c r="F70">
        <f t="shared" si="4"/>
        <v>0.35218825774138407</v>
      </c>
      <c r="G70">
        <f t="shared" si="5"/>
        <v>0.62666317189436416</v>
      </c>
    </row>
    <row r="71" spans="1:7" x14ac:dyDescent="0.25">
      <c r="A71" s="2">
        <v>1994</v>
      </c>
      <c r="B71">
        <v>8015.9824060084047</v>
      </c>
      <c r="C71">
        <v>5065.9363648630406</v>
      </c>
      <c r="D71">
        <v>0.72327645051194545</v>
      </c>
      <c r="E71">
        <f t="shared" si="3"/>
        <v>0.27672354948805455</v>
      </c>
      <c r="F71">
        <f t="shared" si="4"/>
        <v>0.38259720649301615</v>
      </c>
      <c r="G71">
        <f t="shared" si="5"/>
        <v>0.63197947653500985</v>
      </c>
    </row>
    <row r="72" spans="1:7" x14ac:dyDescent="0.25">
      <c r="A72" s="2">
        <v>1995</v>
      </c>
      <c r="B72">
        <v>8747.7794022125836</v>
      </c>
      <c r="C72">
        <v>5453.6217882508799</v>
      </c>
      <c r="D72">
        <v>0.71782790050980994</v>
      </c>
      <c r="E72">
        <f t="shared" si="3"/>
        <v>0.28217209949019006</v>
      </c>
      <c r="F72">
        <f t="shared" si="4"/>
        <v>0.3930915743032391</v>
      </c>
      <c r="G72">
        <f t="shared" si="5"/>
        <v>0.62342927701989037</v>
      </c>
    </row>
    <row r="73" spans="1:7" x14ac:dyDescent="0.25">
      <c r="A73" s="2">
        <v>1996</v>
      </c>
      <c r="B73">
        <v>9377.4316367787396</v>
      </c>
      <c r="C73">
        <v>5980.3785024717563</v>
      </c>
      <c r="D73">
        <v>0.71278264436883132</v>
      </c>
      <c r="E73">
        <f t="shared" si="3"/>
        <v>0.28721735563116868</v>
      </c>
      <c r="F73">
        <f t="shared" si="4"/>
        <v>0.40295222940718417</v>
      </c>
      <c r="G73">
        <f t="shared" si="5"/>
        <v>0.63774162629097964</v>
      </c>
    </row>
    <row r="74" spans="1:7" x14ac:dyDescent="0.25">
      <c r="A74" s="2">
        <v>1997</v>
      </c>
      <c r="B74">
        <v>10131.930628512542</v>
      </c>
      <c r="C74">
        <v>6636.7208449356622</v>
      </c>
      <c r="D74">
        <v>0.71015626746551597</v>
      </c>
      <c r="E74">
        <f t="shared" si="3"/>
        <v>0.28984373253448403</v>
      </c>
      <c r="F74">
        <f t="shared" si="4"/>
        <v>0.40814077944972638</v>
      </c>
      <c r="G74">
        <f t="shared" si="5"/>
        <v>0.65503022950621914</v>
      </c>
    </row>
    <row r="75" spans="1:7" x14ac:dyDescent="0.25">
      <c r="A75" s="2">
        <v>1998</v>
      </c>
      <c r="B75">
        <v>10868.299474225725</v>
      </c>
      <c r="C75">
        <v>7326.5257835404382</v>
      </c>
      <c r="D75">
        <v>0.72434079210001046</v>
      </c>
      <c r="E75">
        <f t="shared" si="3"/>
        <v>0.27565920789998954</v>
      </c>
      <c r="F75">
        <f t="shared" si="4"/>
        <v>0.38056562726613496</v>
      </c>
      <c r="G75">
        <f t="shared" si="5"/>
        <v>0.67411887213039756</v>
      </c>
    </row>
    <row r="76" spans="1:7" x14ac:dyDescent="0.25">
      <c r="A76" s="2">
        <v>1999</v>
      </c>
      <c r="B76">
        <v>11732.155400797026</v>
      </c>
      <c r="C76">
        <v>8158.7739306436397</v>
      </c>
      <c r="D76">
        <v>0.73211588903902725</v>
      </c>
      <c r="E76">
        <f t="shared" si="3"/>
        <v>0.26788411096097275</v>
      </c>
      <c r="F76">
        <f t="shared" si="4"/>
        <v>0.36590397090356352</v>
      </c>
      <c r="G76">
        <f t="shared" si="5"/>
        <v>0.69541986548263512</v>
      </c>
    </row>
    <row r="77" spans="1:7" x14ac:dyDescent="0.25">
      <c r="A77" s="2">
        <v>2000</v>
      </c>
      <c r="B77">
        <v>12893.207159313921</v>
      </c>
      <c r="C77">
        <v>9037.9211982188644</v>
      </c>
      <c r="D77">
        <v>0.74548125557869682</v>
      </c>
      <c r="E77">
        <f t="shared" si="3"/>
        <v>0.25451874442130318</v>
      </c>
      <c r="F77">
        <f t="shared" si="4"/>
        <v>0.34141535084437125</v>
      </c>
      <c r="G77">
        <f t="shared" si="5"/>
        <v>0.70098316784508985</v>
      </c>
    </row>
    <row r="78" spans="1:7" x14ac:dyDescent="0.25">
      <c r="A78" s="2">
        <v>2001</v>
      </c>
      <c r="B78">
        <v>13867.539147400836</v>
      </c>
      <c r="C78">
        <v>9418.8398805215838</v>
      </c>
      <c r="D78">
        <v>0.75532555513737298</v>
      </c>
      <c r="E78">
        <f t="shared" si="3"/>
        <v>0.24467444486262702</v>
      </c>
      <c r="F78">
        <f t="shared" si="4"/>
        <v>0.32393243310578501</v>
      </c>
      <c r="G78">
        <f t="shared" si="5"/>
        <v>0.67920052580395551</v>
      </c>
    </row>
    <row r="79" spans="1:7" x14ac:dyDescent="0.25">
      <c r="A79" s="2">
        <v>2002</v>
      </c>
      <c r="B79">
        <v>14705.731318193346</v>
      </c>
      <c r="C79">
        <v>9893.3150292562659</v>
      </c>
      <c r="D79">
        <v>0.73787147102525996</v>
      </c>
      <c r="E79">
        <f t="shared" si="3"/>
        <v>0.26212852897474004</v>
      </c>
      <c r="F79">
        <f t="shared" si="4"/>
        <v>0.35524957837239168</v>
      </c>
      <c r="G79">
        <f t="shared" si="5"/>
        <v>0.67275233139997936</v>
      </c>
    </row>
    <row r="80" spans="1:7" x14ac:dyDescent="0.25">
      <c r="A80" s="2">
        <v>2003</v>
      </c>
      <c r="B80">
        <v>15538.323687142021</v>
      </c>
      <c r="C80">
        <v>10660.65402779652</v>
      </c>
      <c r="D80">
        <v>0.72256991631499901</v>
      </c>
      <c r="E80">
        <f t="shared" si="3"/>
        <v>0.27743008368500099</v>
      </c>
      <c r="F80">
        <f t="shared" si="4"/>
        <v>0.38394912024548972</v>
      </c>
      <c r="G80">
        <f t="shared" si="5"/>
        <v>0.68608778156798356</v>
      </c>
    </row>
    <row r="81" spans="1:7" x14ac:dyDescent="0.25">
      <c r="A81" s="2">
        <v>2004</v>
      </c>
      <c r="B81">
        <v>18061.368638773256</v>
      </c>
      <c r="C81">
        <v>11805.968577421771</v>
      </c>
      <c r="D81">
        <v>0.70823450810088517</v>
      </c>
      <c r="E81">
        <f t="shared" si="3"/>
        <v>0.29176549189911483</v>
      </c>
      <c r="F81">
        <f t="shared" si="4"/>
        <v>0.41196169991981524</v>
      </c>
      <c r="G81">
        <f t="shared" si="5"/>
        <v>0.65365858000801214</v>
      </c>
    </row>
    <row r="82" spans="1:7" x14ac:dyDescent="0.25">
      <c r="A82" s="2">
        <v>2005</v>
      </c>
      <c r="B82">
        <v>21099.457731249146</v>
      </c>
      <c r="C82">
        <v>13039.2</v>
      </c>
      <c r="D82">
        <v>0.68954278796908464</v>
      </c>
      <c r="E82">
        <f t="shared" si="3"/>
        <v>0.31045721203091536</v>
      </c>
      <c r="F82">
        <f t="shared" si="4"/>
        <v>0.45023632680621206</v>
      </c>
      <c r="G82">
        <f t="shared" si="5"/>
        <v>0.617987446221825</v>
      </c>
    </row>
    <row r="83" spans="1:7" x14ac:dyDescent="0.25">
      <c r="A83" s="2">
        <v>2006</v>
      </c>
      <c r="B83">
        <v>24070.579179727083</v>
      </c>
      <c r="C83">
        <v>14200.303475178176</v>
      </c>
      <c r="D83">
        <v>0.67745296671490596</v>
      </c>
      <c r="E83">
        <f t="shared" si="3"/>
        <v>0.32254703328509404</v>
      </c>
      <c r="F83">
        <f t="shared" si="4"/>
        <v>0.47611723489703489</v>
      </c>
      <c r="G83">
        <f t="shared" si="5"/>
        <v>0.58994440346238408</v>
      </c>
    </row>
    <row r="84" spans="1:7" x14ac:dyDescent="0.25">
      <c r="A84" s="2">
        <v>2007</v>
      </c>
      <c r="B84">
        <v>26120.098568946458</v>
      </c>
      <c r="C84">
        <v>15175.352044258536</v>
      </c>
      <c r="D84">
        <v>0.69814415930844609</v>
      </c>
      <c r="E84">
        <f t="shared" si="3"/>
        <v>0.30185584069155391</v>
      </c>
      <c r="F84">
        <f t="shared" si="4"/>
        <v>0.43236892648441022</v>
      </c>
      <c r="G84">
        <f t="shared" si="5"/>
        <v>0.5809837204175079</v>
      </c>
    </row>
    <row r="85" spans="1:7" x14ac:dyDescent="0.25">
      <c r="A85" s="2">
        <v>2008</v>
      </c>
      <c r="B85">
        <v>29041.764264573092</v>
      </c>
      <c r="C85">
        <v>15502.950568565153</v>
      </c>
      <c r="D85">
        <v>0.72100116754232346</v>
      </c>
      <c r="E85">
        <f t="shared" si="3"/>
        <v>0.27899883245767654</v>
      </c>
      <c r="F85">
        <f t="shared" si="4"/>
        <v>0.38696030605428811</v>
      </c>
      <c r="G85">
        <f t="shared" si="5"/>
        <v>0.53381572921437814</v>
      </c>
    </row>
    <row r="86" spans="1:7" x14ac:dyDescent="0.25">
      <c r="A86" s="2">
        <v>2009</v>
      </c>
      <c r="B86">
        <v>27578.000139091531</v>
      </c>
      <c r="C86">
        <v>14805.060931539112</v>
      </c>
      <c r="D86">
        <v>0.70303797854646999</v>
      </c>
      <c r="E86">
        <f t="shared" si="3"/>
        <v>0.29696202145353001</v>
      </c>
      <c r="F86">
        <f t="shared" si="4"/>
        <v>0.42239826370048822</v>
      </c>
      <c r="G86">
        <f t="shared" si="5"/>
        <v>0.53684316690364686</v>
      </c>
    </row>
    <row r="87" spans="1:7" x14ac:dyDescent="0.25">
      <c r="A87" s="2">
        <v>2010</v>
      </c>
      <c r="B87">
        <v>29085.382892637877</v>
      </c>
      <c r="C87">
        <v>15803.656002747755</v>
      </c>
      <c r="D87">
        <v>0.67479149620314949</v>
      </c>
      <c r="E87">
        <f t="shared" si="3"/>
        <v>0.32520850379685051</v>
      </c>
      <c r="F87">
        <f t="shared" si="4"/>
        <v>0.48193924438393454</v>
      </c>
      <c r="G87">
        <f t="shared" si="5"/>
        <v>0.54335389226551989</v>
      </c>
    </row>
    <row r="88" spans="1:7" x14ac:dyDescent="0.25">
      <c r="A88" s="2">
        <v>2011</v>
      </c>
      <c r="B88">
        <v>31649.6401095947</v>
      </c>
      <c r="C88">
        <v>16638.200164374823</v>
      </c>
      <c r="D88">
        <v>0.67520723436322527</v>
      </c>
      <c r="E88">
        <f t="shared" si="3"/>
        <v>0.32479276563677473</v>
      </c>
      <c r="F88">
        <f t="shared" si="4"/>
        <v>0.48102678571428581</v>
      </c>
      <c r="G88">
        <f t="shared" si="5"/>
        <v>0.52569950580041169</v>
      </c>
    </row>
    <row r="89" spans="1:7" x14ac:dyDescent="0.25">
      <c r="A89" s="2">
        <v>2012</v>
      </c>
      <c r="B89">
        <v>34530.579899994504</v>
      </c>
      <c r="C89">
        <v>17733.032053090614</v>
      </c>
      <c r="D89">
        <v>0.6659856078129015</v>
      </c>
      <c r="E89">
        <f t="shared" si="3"/>
        <v>0.3340143921870985</v>
      </c>
      <c r="F89">
        <f t="shared" si="4"/>
        <v>0.50153394948578944</v>
      </c>
      <c r="G89">
        <f t="shared" si="5"/>
        <v>0.51354573553204175</v>
      </c>
    </row>
    <row r="90" spans="1:7" x14ac:dyDescent="0.25">
      <c r="A90" s="2">
        <v>2013</v>
      </c>
      <c r="B90">
        <v>37865.355855822221</v>
      </c>
      <c r="C90">
        <v>18806.674788091415</v>
      </c>
      <c r="D90">
        <v>0.66881835888727958</v>
      </c>
      <c r="E90">
        <f t="shared" si="3"/>
        <v>0.33118164111272042</v>
      </c>
      <c r="F90">
        <f t="shared" si="4"/>
        <v>0.49517426773946654</v>
      </c>
      <c r="G90">
        <f t="shared" si="5"/>
        <v>0.49667233710150593</v>
      </c>
    </row>
    <row r="91" spans="1:7" x14ac:dyDescent="0.25">
      <c r="A91" s="2">
        <v>2014</v>
      </c>
      <c r="B91">
        <v>41880.286932943476</v>
      </c>
      <c r="C91">
        <v>20112.341991634054</v>
      </c>
      <c r="D91">
        <v>0.66276313627936445</v>
      </c>
      <c r="E91">
        <f t="shared" si="3"/>
        <v>0.33723686372063555</v>
      </c>
      <c r="F91">
        <f t="shared" si="4"/>
        <v>0.50883467299316609</v>
      </c>
      <c r="G91">
        <f t="shared" si="5"/>
        <v>0.48023410211675205</v>
      </c>
    </row>
    <row r="92" spans="1:7" x14ac:dyDescent="0.25">
      <c r="A92" s="2">
        <v>2015</v>
      </c>
      <c r="B92">
        <v>43943.061541436764</v>
      </c>
      <c r="C92">
        <v>21512.295175476258</v>
      </c>
      <c r="D92">
        <v>0.6683441357851343</v>
      </c>
      <c r="E92">
        <f t="shared" si="3"/>
        <v>0.3316558642148657</v>
      </c>
      <c r="F92">
        <f t="shared" si="4"/>
        <v>0.49623516756865749</v>
      </c>
      <c r="G92">
        <f t="shared" si="5"/>
        <v>0.48954930359576604</v>
      </c>
    </row>
    <row r="93" spans="1:7" x14ac:dyDescent="0.25">
      <c r="A93" s="2">
        <v>2016</v>
      </c>
      <c r="B93">
        <v>47045.74588426538</v>
      </c>
      <c r="C93">
        <v>22514.162545847084</v>
      </c>
      <c r="D93">
        <v>0.6747694516538737</v>
      </c>
      <c r="E93">
        <f t="shared" si="3"/>
        <v>0.3252305483461263</v>
      </c>
      <c r="F93">
        <f t="shared" si="4"/>
        <v>0.48198765896852563</v>
      </c>
      <c r="G93">
        <f t="shared" si="5"/>
        <v>0.47855894561078749</v>
      </c>
    </row>
    <row r="94" spans="1:7" x14ac:dyDescent="0.25">
      <c r="A94" s="2">
        <v>2017</v>
      </c>
      <c r="B94">
        <v>51314.212140489166</v>
      </c>
      <c r="C94">
        <v>24057.727456728939</v>
      </c>
      <c r="D94">
        <v>0.68256680179128559</v>
      </c>
      <c r="E94">
        <f t="shared" si="3"/>
        <v>0.31743319820871441</v>
      </c>
      <c r="F94">
        <f t="shared" si="4"/>
        <v>0.46505806812705014</v>
      </c>
      <c r="G94">
        <f t="shared" si="5"/>
        <v>0.46883166384515795</v>
      </c>
    </row>
    <row r="95" spans="1:7" x14ac:dyDescent="0.25">
      <c r="A95" s="2">
        <v>2018</v>
      </c>
      <c r="B95">
        <v>56326.494039070953</v>
      </c>
      <c r="C95">
        <v>26090.674004244305</v>
      </c>
      <c r="D95">
        <v>0.67787019634502343</v>
      </c>
      <c r="E95">
        <f t="shared" si="3"/>
        <v>0.32212980365497657</v>
      </c>
      <c r="F95">
        <f t="shared" si="4"/>
        <v>0.47520868359732166</v>
      </c>
      <c r="G95">
        <f t="shared" si="5"/>
        <v>0.46320429576437816</v>
      </c>
    </row>
    <row r="96" spans="1:7" x14ac:dyDescent="0.25">
      <c r="A96" s="2">
        <v>2019</v>
      </c>
      <c r="B96">
        <v>61821.398220448704</v>
      </c>
      <c r="C96">
        <v>27909.441493602881</v>
      </c>
      <c r="D96">
        <v>0.68081642035495693</v>
      </c>
      <c r="E96">
        <f t="shared" si="3"/>
        <v>0.31918357964504307</v>
      </c>
      <c r="F96">
        <f t="shared" si="4"/>
        <v>0.4688247376269663</v>
      </c>
      <c r="G96">
        <f t="shared" si="5"/>
        <v>0.45145277035114451</v>
      </c>
    </row>
    <row r="97" spans="1:7" x14ac:dyDescent="0.25">
      <c r="A97" s="2">
        <v>2020</v>
      </c>
      <c r="B97">
        <v>65583.789097193672</v>
      </c>
      <c r="C97">
        <v>27070.023701868231</v>
      </c>
      <c r="D97">
        <v>0.7078038135300333</v>
      </c>
      <c r="E97">
        <f t="shared" si="3"/>
        <v>0.2921961864699667</v>
      </c>
      <c r="F97">
        <f t="shared" si="4"/>
        <v>0.41282087053571426</v>
      </c>
      <c r="G97">
        <f t="shared" si="5"/>
        <v>0.41275479923477854</v>
      </c>
    </row>
    <row r="98" spans="1:7" x14ac:dyDescent="0.25">
      <c r="A98" s="2">
        <v>2021</v>
      </c>
      <c r="B98">
        <v>81740.17169024302</v>
      </c>
      <c r="C98">
        <v>31837.925442524014</v>
      </c>
      <c r="D98">
        <v>0.6710246327221967</v>
      </c>
      <c r="E98">
        <f t="shared" si="3"/>
        <v>0.3289753672778033</v>
      </c>
      <c r="F98">
        <f t="shared" si="4"/>
        <v>0.49025825764878989</v>
      </c>
      <c r="G98">
        <f t="shared" si="5"/>
        <v>0.3895015729007133</v>
      </c>
    </row>
    <row r="99" spans="1:7" x14ac:dyDescent="0.25">
      <c r="A99" s="2">
        <v>2022</v>
      </c>
      <c r="B99">
        <v>102154.34218973901</v>
      </c>
      <c r="C99">
        <v>35842.951334012098</v>
      </c>
      <c r="D99">
        <v>0.65242007871297381</v>
      </c>
      <c r="E99">
        <f t="shared" si="3"/>
        <v>0.34757992128702619</v>
      </c>
      <c r="F99">
        <f t="shared" si="4"/>
        <v>0.53275478886654681</v>
      </c>
      <c r="G99">
        <f t="shared" si="5"/>
        <v>0.35087056081706508</v>
      </c>
    </row>
    <row r="100" spans="1:7" x14ac:dyDescent="0.25">
      <c r="A100" s="2">
        <v>2023</v>
      </c>
      <c r="B100">
        <v>109521.21518108247</v>
      </c>
      <c r="C100">
        <v>39308.028089694679</v>
      </c>
      <c r="D100">
        <v>0.65508166040384253</v>
      </c>
      <c r="E100">
        <f t="shared" si="3"/>
        <v>0.34491833959615747</v>
      </c>
      <c r="F100">
        <f t="shared" si="4"/>
        <v>0.52652724147936514</v>
      </c>
      <c r="G100">
        <f t="shared" si="5"/>
        <v>0.35890788852828881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743C-8D97-47B3-8A23-116FC103ED4F}">
  <dimension ref="A1:CW6"/>
  <sheetViews>
    <sheetView zoomScaleNormal="100" workbookViewId="0">
      <selection activeCell="B4" sqref="B4"/>
    </sheetView>
  </sheetViews>
  <sheetFormatPr defaultRowHeight="15" x14ac:dyDescent="0.25"/>
  <cols>
    <col min="1" max="1" width="10.85546875" bestFit="1" customWidth="1"/>
  </cols>
  <sheetData>
    <row r="1" spans="1:101" x14ac:dyDescent="0.25">
      <c r="B1">
        <v>1925</v>
      </c>
      <c r="C1">
        <v>1926</v>
      </c>
      <c r="D1">
        <v>1927</v>
      </c>
      <c r="E1">
        <v>1928</v>
      </c>
      <c r="F1">
        <v>1929</v>
      </c>
      <c r="G1">
        <v>1930</v>
      </c>
      <c r="H1">
        <v>1931</v>
      </c>
      <c r="I1">
        <v>1932</v>
      </c>
      <c r="J1">
        <v>1933</v>
      </c>
      <c r="K1">
        <v>1934</v>
      </c>
      <c r="L1">
        <v>1935</v>
      </c>
      <c r="M1">
        <v>1936</v>
      </c>
      <c r="N1">
        <v>1937</v>
      </c>
      <c r="O1">
        <v>1938</v>
      </c>
      <c r="P1">
        <v>1939</v>
      </c>
      <c r="Q1">
        <v>1940</v>
      </c>
      <c r="R1">
        <v>1941</v>
      </c>
      <c r="S1">
        <v>1942</v>
      </c>
      <c r="T1">
        <v>1943</v>
      </c>
      <c r="U1">
        <v>1944</v>
      </c>
      <c r="V1">
        <v>1945</v>
      </c>
      <c r="W1">
        <v>1946</v>
      </c>
      <c r="X1">
        <v>1947</v>
      </c>
      <c r="Y1">
        <v>1948</v>
      </c>
      <c r="Z1">
        <v>1949</v>
      </c>
      <c r="AA1">
        <v>1950</v>
      </c>
      <c r="AB1">
        <v>1951</v>
      </c>
      <c r="AC1">
        <v>1952</v>
      </c>
      <c r="AD1">
        <v>1953</v>
      </c>
      <c r="AE1">
        <v>1954</v>
      </c>
      <c r="AF1">
        <v>1955</v>
      </c>
      <c r="AG1">
        <v>1956</v>
      </c>
      <c r="AH1">
        <v>1957</v>
      </c>
      <c r="AI1">
        <v>1958</v>
      </c>
      <c r="AJ1">
        <v>1959</v>
      </c>
      <c r="AK1">
        <v>1960</v>
      </c>
      <c r="AL1">
        <v>1961</v>
      </c>
      <c r="AM1">
        <v>1962</v>
      </c>
      <c r="AN1">
        <v>1963</v>
      </c>
      <c r="AO1">
        <v>1964</v>
      </c>
      <c r="AP1">
        <v>1965</v>
      </c>
      <c r="AQ1">
        <v>1966</v>
      </c>
      <c r="AR1">
        <v>1967</v>
      </c>
      <c r="AS1">
        <v>1968</v>
      </c>
      <c r="AT1">
        <v>1969</v>
      </c>
      <c r="AU1">
        <v>1970</v>
      </c>
      <c r="AV1">
        <v>1971</v>
      </c>
      <c r="AW1">
        <v>1972</v>
      </c>
      <c r="AX1">
        <v>1973</v>
      </c>
      <c r="AY1">
        <v>1974</v>
      </c>
      <c r="AZ1">
        <v>1975</v>
      </c>
      <c r="BA1">
        <v>1976</v>
      </c>
      <c r="BB1">
        <v>1977</v>
      </c>
      <c r="BC1">
        <v>1978</v>
      </c>
      <c r="BD1">
        <v>1979</v>
      </c>
      <c r="BE1">
        <v>1980</v>
      </c>
      <c r="BF1">
        <v>1981</v>
      </c>
      <c r="BG1">
        <v>1982</v>
      </c>
      <c r="BH1">
        <v>1983</v>
      </c>
      <c r="BI1">
        <v>1984</v>
      </c>
      <c r="BJ1">
        <v>1985</v>
      </c>
      <c r="BK1">
        <v>1986</v>
      </c>
      <c r="BL1">
        <v>1987</v>
      </c>
      <c r="BM1">
        <v>1988</v>
      </c>
      <c r="BN1">
        <v>1989</v>
      </c>
      <c r="BO1">
        <v>1990</v>
      </c>
      <c r="BP1">
        <v>1991</v>
      </c>
      <c r="BQ1">
        <v>1992</v>
      </c>
      <c r="BR1">
        <v>1993</v>
      </c>
      <c r="BS1">
        <v>1994</v>
      </c>
      <c r="BT1">
        <v>1995</v>
      </c>
      <c r="BU1">
        <v>1996</v>
      </c>
      <c r="BV1">
        <v>1997</v>
      </c>
      <c r="BW1">
        <v>1998</v>
      </c>
      <c r="BX1">
        <v>1999</v>
      </c>
      <c r="BY1">
        <v>2000</v>
      </c>
      <c r="BZ1">
        <v>2001</v>
      </c>
      <c r="CA1">
        <v>2002</v>
      </c>
      <c r="CB1">
        <v>2003</v>
      </c>
      <c r="CC1">
        <v>2004</v>
      </c>
      <c r="CD1">
        <v>2005</v>
      </c>
      <c r="CE1">
        <v>2006</v>
      </c>
      <c r="CF1">
        <v>2007</v>
      </c>
      <c r="CG1">
        <v>2008</v>
      </c>
      <c r="CH1">
        <v>2009</v>
      </c>
      <c r="CI1">
        <v>2010</v>
      </c>
      <c r="CJ1">
        <v>2011</v>
      </c>
      <c r="CK1">
        <v>2012</v>
      </c>
      <c r="CL1">
        <v>2013</v>
      </c>
      <c r="CM1">
        <v>2014</v>
      </c>
      <c r="CN1">
        <v>2015</v>
      </c>
      <c r="CO1">
        <v>2016</v>
      </c>
      <c r="CP1">
        <v>2017</v>
      </c>
      <c r="CQ1">
        <v>2018</v>
      </c>
      <c r="CR1">
        <v>2019</v>
      </c>
      <c r="CS1">
        <v>2020</v>
      </c>
      <c r="CT1">
        <v>2021</v>
      </c>
      <c r="CU1">
        <v>2022</v>
      </c>
      <c r="CV1">
        <v>2023</v>
      </c>
      <c r="CW1">
        <v>2024</v>
      </c>
    </row>
    <row r="2" spans="1:101" x14ac:dyDescent="0.25">
      <c r="F2">
        <v>49.6</v>
      </c>
      <c r="G2">
        <v>43.1</v>
      </c>
      <c r="H2">
        <v>33.1</v>
      </c>
      <c r="I2">
        <v>23.6</v>
      </c>
      <c r="J2">
        <v>22.9</v>
      </c>
      <c r="K2">
        <v>29.4</v>
      </c>
      <c r="L2">
        <v>33</v>
      </c>
      <c r="M2">
        <v>38.5</v>
      </c>
      <c r="N2">
        <v>43.6</v>
      </c>
      <c r="O2">
        <v>38.200000000000003</v>
      </c>
      <c r="P2">
        <v>42.5</v>
      </c>
      <c r="Q2">
        <v>49.1</v>
      </c>
      <c r="R2">
        <v>64.400000000000006</v>
      </c>
      <c r="S2">
        <v>81.099999999999994</v>
      </c>
      <c r="T2">
        <v>96.9</v>
      </c>
      <c r="U2">
        <v>100.5</v>
      </c>
      <c r="V2">
        <v>93.9</v>
      </c>
      <c r="W2">
        <v>97.8</v>
      </c>
      <c r="X2">
        <v>117.7</v>
      </c>
      <c r="Y2">
        <v>134.6</v>
      </c>
      <c r="Z2">
        <v>130.6</v>
      </c>
      <c r="AA2">
        <v>148.80000000000001</v>
      </c>
      <c r="AB2">
        <v>170.7</v>
      </c>
      <c r="AC2">
        <v>178.9</v>
      </c>
      <c r="AD2">
        <v>191.9</v>
      </c>
      <c r="AE2">
        <v>188.5</v>
      </c>
      <c r="AF2">
        <v>213.5</v>
      </c>
      <c r="AG2">
        <v>228</v>
      </c>
      <c r="AH2">
        <v>237.1</v>
      </c>
      <c r="AI2">
        <v>230.4</v>
      </c>
      <c r="AJ2">
        <v>259.8</v>
      </c>
      <c r="AK2">
        <v>271.39999999999998</v>
      </c>
      <c r="AL2">
        <v>279.2</v>
      </c>
      <c r="AM2">
        <v>305.10000000000002</v>
      </c>
      <c r="AN2">
        <v>324.89999999999998</v>
      </c>
      <c r="AO2">
        <v>351.6</v>
      </c>
      <c r="AP2">
        <v>386.6</v>
      </c>
      <c r="AQ2">
        <v>424.2</v>
      </c>
      <c r="AR2">
        <v>446.1</v>
      </c>
      <c r="AS2">
        <v>492.1</v>
      </c>
      <c r="AT2">
        <v>534.9</v>
      </c>
      <c r="AU2">
        <v>550.29999999999995</v>
      </c>
      <c r="AV2">
        <v>593.29999999999995</v>
      </c>
      <c r="AW2">
        <v>659.5</v>
      </c>
      <c r="AX2">
        <v>738.2</v>
      </c>
      <c r="AY2">
        <v>793.5</v>
      </c>
      <c r="AZ2">
        <v>852</v>
      </c>
      <c r="BA2">
        <v>962.3</v>
      </c>
      <c r="BB2">
        <v>1092.0999999999999</v>
      </c>
      <c r="BC2">
        <v>1247.5999999999999</v>
      </c>
      <c r="BD2">
        <v>1381</v>
      </c>
      <c r="BE2">
        <v>1490.3</v>
      </c>
      <c r="BF2">
        <v>1690.3</v>
      </c>
      <c r="BG2">
        <v>1746</v>
      </c>
      <c r="BH2">
        <v>1886.6</v>
      </c>
      <c r="BI2">
        <v>2131.6</v>
      </c>
      <c r="BJ2">
        <v>2274.6</v>
      </c>
      <c r="BK2">
        <v>2356.9</v>
      </c>
      <c r="BL2">
        <v>2523.8000000000002</v>
      </c>
      <c r="BM2">
        <v>2742.7</v>
      </c>
      <c r="BN2">
        <v>2893</v>
      </c>
      <c r="BO2">
        <v>3012.6</v>
      </c>
      <c r="BP2">
        <v>3075.1</v>
      </c>
      <c r="BQ2">
        <v>3248</v>
      </c>
      <c r="BR2">
        <v>3401.7</v>
      </c>
      <c r="BS2">
        <v>3662.5</v>
      </c>
      <c r="BT2">
        <v>3883.8</v>
      </c>
      <c r="BU2">
        <v>4143.8999999999996</v>
      </c>
      <c r="BV2">
        <v>4473.1000000000004</v>
      </c>
      <c r="BW2">
        <v>4759.5</v>
      </c>
      <c r="BX2">
        <v>5032.3999999999996</v>
      </c>
      <c r="BY2">
        <v>5377.6</v>
      </c>
      <c r="BZ2">
        <v>5314</v>
      </c>
      <c r="CA2">
        <v>5384</v>
      </c>
      <c r="CB2">
        <v>5592.4</v>
      </c>
      <c r="CC2">
        <v>5987</v>
      </c>
      <c r="CD2">
        <v>6443.4</v>
      </c>
      <c r="CE2">
        <v>6910</v>
      </c>
      <c r="CF2">
        <v>7010.3</v>
      </c>
      <c r="CG2">
        <v>6852</v>
      </c>
      <c r="CH2">
        <v>6553.7</v>
      </c>
      <c r="CI2">
        <v>6966.3</v>
      </c>
      <c r="CJ2">
        <v>7298.5</v>
      </c>
      <c r="CK2">
        <v>7782</v>
      </c>
      <c r="CL2">
        <v>8009.2</v>
      </c>
      <c r="CM2">
        <v>8522.2000000000007</v>
      </c>
      <c r="CN2">
        <v>8902.2999999999993</v>
      </c>
      <c r="CO2">
        <v>9054.5</v>
      </c>
      <c r="CP2">
        <v>9423.4</v>
      </c>
      <c r="CQ2">
        <v>10002.799999999999</v>
      </c>
      <c r="CR2">
        <v>10440.700000000001</v>
      </c>
      <c r="CS2">
        <v>10127.1</v>
      </c>
      <c r="CT2">
        <v>11748.6</v>
      </c>
      <c r="CU2">
        <v>13034.7</v>
      </c>
      <c r="CV2">
        <v>13678.6</v>
      </c>
      <c r="CW2">
        <v>14377.8</v>
      </c>
    </row>
    <row r="3" spans="1:101" x14ac:dyDescent="0.25">
      <c r="F3">
        <v>34.200000000000003</v>
      </c>
      <c r="G3">
        <v>30.8</v>
      </c>
      <c r="H3">
        <v>25.4</v>
      </c>
      <c r="I3">
        <v>19</v>
      </c>
      <c r="J3">
        <v>18</v>
      </c>
      <c r="K3">
        <v>21</v>
      </c>
      <c r="L3">
        <v>23.1</v>
      </c>
      <c r="M3">
        <v>26.3</v>
      </c>
      <c r="N3">
        <v>30.5</v>
      </c>
      <c r="O3">
        <v>27.3</v>
      </c>
      <c r="P3">
        <v>29.8</v>
      </c>
      <c r="Q3">
        <v>32.9</v>
      </c>
      <c r="R3">
        <v>41.6</v>
      </c>
      <c r="S3">
        <v>52.8</v>
      </c>
      <c r="T3">
        <v>64.099999999999994</v>
      </c>
      <c r="U3">
        <v>67.099999999999994</v>
      </c>
      <c r="V3">
        <v>64.099999999999994</v>
      </c>
      <c r="W3">
        <v>69.900000000000006</v>
      </c>
      <c r="X3">
        <v>82.1</v>
      </c>
      <c r="Y3">
        <v>91.1</v>
      </c>
      <c r="Z3">
        <v>88.8</v>
      </c>
      <c r="AA3">
        <v>98.7</v>
      </c>
      <c r="AB3">
        <v>114.6</v>
      </c>
      <c r="AC3">
        <v>123</v>
      </c>
      <c r="AD3">
        <v>134</v>
      </c>
      <c r="AE3">
        <v>132.19999999999999</v>
      </c>
      <c r="AF3">
        <v>144.6</v>
      </c>
      <c r="AG3">
        <v>158.19999999999999</v>
      </c>
      <c r="AH3">
        <v>166.5</v>
      </c>
      <c r="AI3">
        <v>164</v>
      </c>
      <c r="AJ3">
        <v>180.3</v>
      </c>
      <c r="AK3">
        <v>190.7</v>
      </c>
      <c r="AL3">
        <v>195.6</v>
      </c>
      <c r="AM3">
        <v>211</v>
      </c>
      <c r="AN3">
        <v>222.7</v>
      </c>
      <c r="AO3">
        <v>239.2</v>
      </c>
      <c r="AP3">
        <v>259.89999999999998</v>
      </c>
      <c r="AQ3">
        <v>288.5</v>
      </c>
      <c r="AR3">
        <v>308.39999999999998</v>
      </c>
      <c r="AS3">
        <v>340.2</v>
      </c>
      <c r="AT3">
        <v>377.5</v>
      </c>
      <c r="AU3">
        <v>398</v>
      </c>
      <c r="AV3">
        <v>421.7</v>
      </c>
      <c r="AW3">
        <v>468.2</v>
      </c>
      <c r="AX3">
        <v>526.1</v>
      </c>
      <c r="AY3">
        <v>577.29999999999995</v>
      </c>
      <c r="AZ3">
        <v>607.79999999999995</v>
      </c>
      <c r="BA3">
        <v>682.8</v>
      </c>
      <c r="BB3">
        <v>771.7</v>
      </c>
      <c r="BC3">
        <v>884.7</v>
      </c>
      <c r="BD3">
        <v>1004.4</v>
      </c>
      <c r="BE3">
        <v>1102</v>
      </c>
      <c r="BF3">
        <v>1220.5999999999999</v>
      </c>
      <c r="BG3">
        <v>1275.0999999999999</v>
      </c>
      <c r="BH3">
        <v>1353</v>
      </c>
      <c r="BI3">
        <v>1501.1</v>
      </c>
      <c r="BJ3">
        <v>1615.9</v>
      </c>
      <c r="BK3">
        <v>1723.4</v>
      </c>
      <c r="BL3">
        <v>1847.6</v>
      </c>
      <c r="BM3">
        <v>2002.3</v>
      </c>
      <c r="BN3">
        <v>2119.3000000000002</v>
      </c>
      <c r="BO3">
        <v>2234.9</v>
      </c>
      <c r="BP3">
        <v>2277.8000000000002</v>
      </c>
      <c r="BQ3">
        <v>2420.5</v>
      </c>
      <c r="BR3">
        <v>2515.6999999999998</v>
      </c>
      <c r="BS3">
        <v>2649</v>
      </c>
      <c r="BT3">
        <v>2787.9</v>
      </c>
      <c r="BU3">
        <v>2953.7</v>
      </c>
      <c r="BV3">
        <v>3176.6</v>
      </c>
      <c r="BW3">
        <v>3447.5</v>
      </c>
      <c r="BX3">
        <v>3684.3</v>
      </c>
      <c r="BY3">
        <v>4008.9</v>
      </c>
      <c r="BZ3">
        <v>4013.8</v>
      </c>
      <c r="CA3">
        <v>3972.7</v>
      </c>
      <c r="CB3">
        <v>4040.9</v>
      </c>
      <c r="CC3">
        <v>4240.2</v>
      </c>
      <c r="CD3">
        <v>4443</v>
      </c>
      <c r="CE3">
        <v>4681.2</v>
      </c>
      <c r="CF3">
        <v>4894.2</v>
      </c>
      <c r="CG3">
        <v>4940.3</v>
      </c>
      <c r="CH3">
        <v>4607.5</v>
      </c>
      <c r="CI3">
        <v>4700.8</v>
      </c>
      <c r="CJ3">
        <v>4928</v>
      </c>
      <c r="CK3">
        <v>5182.7</v>
      </c>
      <c r="CL3">
        <v>5356.7</v>
      </c>
      <c r="CM3">
        <v>5648.2</v>
      </c>
      <c r="CN3">
        <v>5949.8</v>
      </c>
      <c r="CO3">
        <v>6109.7</v>
      </c>
      <c r="CP3">
        <v>6432.1</v>
      </c>
      <c r="CQ3">
        <v>6780.6</v>
      </c>
      <c r="CR3">
        <v>7108.2</v>
      </c>
      <c r="CS3">
        <v>7168</v>
      </c>
      <c r="CT3">
        <v>7883.6</v>
      </c>
      <c r="CU3">
        <v>8504.1</v>
      </c>
      <c r="CV3">
        <v>8960.6</v>
      </c>
      <c r="CW3">
        <v>9443.2999999999993</v>
      </c>
    </row>
    <row r="4" spans="1:101" x14ac:dyDescent="0.25">
      <c r="A4" t="s">
        <v>3</v>
      </c>
      <c r="B4">
        <f t="shared" ref="B4:D4" si="0">C4*B5</f>
        <v>0.66905169432018829</v>
      </c>
      <c r="C4">
        <f t="shared" si="0"/>
        <v>0.68092443736457819</v>
      </c>
      <c r="D4">
        <f t="shared" si="0"/>
        <v>0.70197383836079064</v>
      </c>
      <c r="E4">
        <f>F4*E5</f>
        <v>0.6965377327655432</v>
      </c>
      <c r="F4">
        <f>F3/F2</f>
        <v>0.68951612903225812</v>
      </c>
      <c r="G4">
        <f t="shared" ref="G4:BR4" si="1">G3/G2</f>
        <v>0.71461716937354991</v>
      </c>
      <c r="H4">
        <f t="shared" si="1"/>
        <v>0.76737160120845915</v>
      </c>
      <c r="I4">
        <f t="shared" si="1"/>
        <v>0.80508474576271183</v>
      </c>
      <c r="J4">
        <f t="shared" si="1"/>
        <v>0.7860262008733625</v>
      </c>
      <c r="K4">
        <f t="shared" si="1"/>
        <v>0.7142857142857143</v>
      </c>
      <c r="L4">
        <f t="shared" si="1"/>
        <v>0.70000000000000007</v>
      </c>
      <c r="M4">
        <f t="shared" si="1"/>
        <v>0.68311688311688312</v>
      </c>
      <c r="N4">
        <f t="shared" si="1"/>
        <v>0.69954128440366969</v>
      </c>
      <c r="O4">
        <f t="shared" si="1"/>
        <v>0.71465968586387429</v>
      </c>
      <c r="P4">
        <f t="shared" si="1"/>
        <v>0.70117647058823529</v>
      </c>
      <c r="Q4">
        <f t="shared" si="1"/>
        <v>0.67006109979633399</v>
      </c>
      <c r="R4">
        <f t="shared" si="1"/>
        <v>0.64596273291925466</v>
      </c>
      <c r="S4">
        <f t="shared" si="1"/>
        <v>0.65104808877928488</v>
      </c>
      <c r="T4">
        <f t="shared" si="1"/>
        <v>0.66150670794633637</v>
      </c>
      <c r="U4">
        <f t="shared" si="1"/>
        <v>0.66766169154228849</v>
      </c>
      <c r="V4">
        <f t="shared" si="1"/>
        <v>0.68264110756123531</v>
      </c>
      <c r="W4">
        <f t="shared" si="1"/>
        <v>0.71472392638036819</v>
      </c>
      <c r="X4">
        <f t="shared" si="1"/>
        <v>0.69753610875106198</v>
      </c>
      <c r="Y4">
        <f t="shared" si="1"/>
        <v>0.67682020802377418</v>
      </c>
      <c r="Z4">
        <f t="shared" si="1"/>
        <v>0.67993874425727407</v>
      </c>
      <c r="AA4">
        <f t="shared" si="1"/>
        <v>0.66330645161290325</v>
      </c>
      <c r="AB4">
        <f t="shared" si="1"/>
        <v>0.67135325131810197</v>
      </c>
      <c r="AC4">
        <f t="shared" si="1"/>
        <v>0.68753493571827839</v>
      </c>
      <c r="AD4">
        <f t="shared" si="1"/>
        <v>0.6982803543512246</v>
      </c>
      <c r="AE4">
        <f t="shared" si="1"/>
        <v>0.70132625994694953</v>
      </c>
      <c r="AF4">
        <f t="shared" si="1"/>
        <v>0.67728337236533953</v>
      </c>
      <c r="AG4">
        <f t="shared" si="1"/>
        <v>0.69385964912280695</v>
      </c>
      <c r="AH4">
        <f t="shared" si="1"/>
        <v>0.70223534373681995</v>
      </c>
      <c r="AI4">
        <f t="shared" si="1"/>
        <v>0.71180555555555558</v>
      </c>
      <c r="AJ4">
        <f t="shared" si="1"/>
        <v>0.6939953810623557</v>
      </c>
      <c r="AK4">
        <f t="shared" si="1"/>
        <v>0.7026529108327193</v>
      </c>
      <c r="AL4">
        <f t="shared" si="1"/>
        <v>0.70057306590257884</v>
      </c>
      <c r="AM4">
        <f t="shared" si="1"/>
        <v>0.69157653228449678</v>
      </c>
      <c r="AN4">
        <f t="shared" si="1"/>
        <v>0.68544167436134196</v>
      </c>
      <c r="AO4">
        <f t="shared" si="1"/>
        <v>0.68031854379977241</v>
      </c>
      <c r="AP4">
        <f t="shared" si="1"/>
        <v>0.67227108122090007</v>
      </c>
      <c r="AQ4">
        <f t="shared" si="1"/>
        <v>0.68010372465818014</v>
      </c>
      <c r="AR4">
        <f t="shared" si="1"/>
        <v>0.69132481506388699</v>
      </c>
      <c r="AS4">
        <f t="shared" si="1"/>
        <v>0.69132290184921763</v>
      </c>
      <c r="AT4">
        <f t="shared" si="1"/>
        <v>0.70573939054028789</v>
      </c>
      <c r="AU4">
        <f t="shared" si="1"/>
        <v>0.72324186807196078</v>
      </c>
      <c r="AV4">
        <f t="shared" si="1"/>
        <v>0.71077026799258392</v>
      </c>
      <c r="AW4">
        <f t="shared" si="1"/>
        <v>0.70993176648976497</v>
      </c>
      <c r="AX4">
        <f t="shared" si="1"/>
        <v>0.71267949065293956</v>
      </c>
      <c r="AY4">
        <f t="shared" si="1"/>
        <v>0.72753623188405792</v>
      </c>
      <c r="AZ4">
        <f t="shared" si="1"/>
        <v>0.71338028169014078</v>
      </c>
      <c r="BA4">
        <f t="shared" si="1"/>
        <v>0.70955003637119396</v>
      </c>
      <c r="BB4">
        <f t="shared" si="1"/>
        <v>0.70662027286878504</v>
      </c>
      <c r="BC4">
        <f t="shared" si="1"/>
        <v>0.70912151330554674</v>
      </c>
      <c r="BD4">
        <f t="shared" si="1"/>
        <v>0.72729905865314992</v>
      </c>
      <c r="BE4">
        <f t="shared" si="1"/>
        <v>0.73944843320136888</v>
      </c>
      <c r="BF4">
        <f t="shared" si="1"/>
        <v>0.72212033366857953</v>
      </c>
      <c r="BG4">
        <f t="shared" si="1"/>
        <v>0.73029782359679263</v>
      </c>
      <c r="BH4">
        <f t="shared" si="1"/>
        <v>0.71716315064136549</v>
      </c>
      <c r="BI4">
        <f t="shared" si="1"/>
        <v>0.70421279789829239</v>
      </c>
      <c r="BJ4">
        <f t="shared" si="1"/>
        <v>0.71041062164776236</v>
      </c>
      <c r="BK4">
        <f t="shared" si="1"/>
        <v>0.73121473121473124</v>
      </c>
      <c r="BL4">
        <f t="shared" si="1"/>
        <v>0.73207068705919631</v>
      </c>
      <c r="BM4">
        <f t="shared" si="1"/>
        <v>0.73004703394465309</v>
      </c>
      <c r="BN4">
        <f t="shared" si="1"/>
        <v>0.73256135499481512</v>
      </c>
      <c r="BO4">
        <f t="shared" si="1"/>
        <v>0.74185089291641781</v>
      </c>
      <c r="BP4">
        <f t="shared" si="1"/>
        <v>0.74072387889824731</v>
      </c>
      <c r="BQ4">
        <f t="shared" si="1"/>
        <v>0.74522783251231528</v>
      </c>
      <c r="BR4">
        <f t="shared" si="1"/>
        <v>0.73954199370902785</v>
      </c>
      <c r="BS4">
        <f t="shared" ref="BS4:CW4" si="2">BS3/BS2</f>
        <v>0.72327645051194545</v>
      </c>
      <c r="BT4">
        <f t="shared" si="2"/>
        <v>0.71782790050980994</v>
      </c>
      <c r="BU4">
        <f t="shared" si="2"/>
        <v>0.71278264436883132</v>
      </c>
      <c r="BV4">
        <f t="shared" si="2"/>
        <v>0.71015626746551597</v>
      </c>
      <c r="BW4">
        <f t="shared" si="2"/>
        <v>0.72434079210001046</v>
      </c>
      <c r="BX4">
        <f t="shared" si="2"/>
        <v>0.73211588903902725</v>
      </c>
      <c r="BY4">
        <f t="shared" si="2"/>
        <v>0.74548125557869682</v>
      </c>
      <c r="BZ4">
        <f t="shared" si="2"/>
        <v>0.75532555513737298</v>
      </c>
      <c r="CA4">
        <f t="shared" si="2"/>
        <v>0.73787147102525996</v>
      </c>
      <c r="CB4">
        <f t="shared" si="2"/>
        <v>0.72256991631499901</v>
      </c>
      <c r="CC4">
        <f t="shared" si="2"/>
        <v>0.70823450810088517</v>
      </c>
      <c r="CD4">
        <f t="shared" si="2"/>
        <v>0.68954278796908464</v>
      </c>
      <c r="CE4">
        <f t="shared" si="2"/>
        <v>0.67745296671490596</v>
      </c>
      <c r="CF4">
        <f t="shared" si="2"/>
        <v>0.69814415930844609</v>
      </c>
      <c r="CG4">
        <f t="shared" si="2"/>
        <v>0.72100116754232346</v>
      </c>
      <c r="CH4">
        <f t="shared" si="2"/>
        <v>0.70303797854646999</v>
      </c>
      <c r="CI4">
        <f t="shared" si="2"/>
        <v>0.67479149620314949</v>
      </c>
      <c r="CJ4">
        <f t="shared" si="2"/>
        <v>0.67520723436322527</v>
      </c>
      <c r="CK4">
        <f t="shared" si="2"/>
        <v>0.6659856078129015</v>
      </c>
      <c r="CL4">
        <f t="shared" si="2"/>
        <v>0.66881835888727958</v>
      </c>
      <c r="CM4">
        <f t="shared" si="2"/>
        <v>0.66276313627936445</v>
      </c>
      <c r="CN4">
        <f t="shared" si="2"/>
        <v>0.6683441357851343</v>
      </c>
      <c r="CO4">
        <f t="shared" si="2"/>
        <v>0.6747694516538737</v>
      </c>
      <c r="CP4">
        <f t="shared" si="2"/>
        <v>0.68256680179128559</v>
      </c>
      <c r="CQ4">
        <f t="shared" si="2"/>
        <v>0.67787019634502343</v>
      </c>
      <c r="CR4">
        <f t="shared" si="2"/>
        <v>0.68081642035495693</v>
      </c>
      <c r="CS4">
        <f t="shared" si="2"/>
        <v>0.7078038135300333</v>
      </c>
      <c r="CT4">
        <f t="shared" si="2"/>
        <v>0.6710246327221967</v>
      </c>
      <c r="CU4">
        <f t="shared" si="2"/>
        <v>0.65242007871297381</v>
      </c>
      <c r="CV4">
        <f>CV3/CV2</f>
        <v>0.65508166040384253</v>
      </c>
      <c r="CW4">
        <f t="shared" si="2"/>
        <v>0.65679728470280574</v>
      </c>
    </row>
    <row r="5" spans="1:101" x14ac:dyDescent="0.25">
      <c r="A5" t="s">
        <v>5</v>
      </c>
      <c r="B5">
        <f>B6/$F$6</f>
        <v>0.98256378770845465</v>
      </c>
      <c r="C5">
        <f>C6/$F$6</f>
        <v>0.97001398079825052</v>
      </c>
      <c r="D5">
        <f>D6/$F$6</f>
        <v>1.0078044667783665</v>
      </c>
      <c r="E5">
        <f>E6/$F$6</f>
        <v>1.0101833785137702</v>
      </c>
      <c r="F5">
        <f>F6/$F$6</f>
        <v>1</v>
      </c>
    </row>
    <row r="6" spans="1:101" x14ac:dyDescent="0.25">
      <c r="A6" t="s">
        <v>4</v>
      </c>
      <c r="B6">
        <v>0.72842011620472058</v>
      </c>
      <c r="C6">
        <v>0.71911636216632102</v>
      </c>
      <c r="D6">
        <v>0.74713220249488488</v>
      </c>
      <c r="E6">
        <v>0.74889580012022061</v>
      </c>
      <c r="F6">
        <v>0.74134638922888607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us_data</vt:lpstr>
      <vt:lpstr>wage_share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2025-06-10T02:18:29Z</dcterms:created>
  <dcterms:modified xsi:type="dcterms:W3CDTF">2025-10-27T16:25:08Z</dcterms:modified>
</cp:coreProperties>
</file>