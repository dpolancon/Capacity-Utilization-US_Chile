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GitHub\Capacity-Utilization-US_Chile\data\raw\Chile\"/>
    </mc:Choice>
  </mc:AlternateContent>
  <xr:revisionPtr revIDLastSave="0" documentId="13_ncr:1_{6DB49C95-2E88-4FD3-BB9E-B913F7E335CA}" xr6:coauthVersionLast="47" xr6:coauthVersionMax="47" xr10:uidLastSave="{00000000-0000-0000-0000-000000000000}"/>
  <bookViews>
    <workbookView xWindow="-120" yWindow="-120" windowWidth="29040" windowHeight="15720" activeTab="1" xr2:uid="{BB82A50C-484D-49A8-91E5-2427640CBBEB}"/>
  </bookViews>
  <sheets>
    <sheet name="links_reproducible" sheetId="1" r:id="rId1"/>
    <sheet name="values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2" i="1"/>
  <c r="B95" i="1"/>
  <c r="B96" i="1"/>
  <c r="B97" i="1"/>
  <c r="B98" i="1"/>
  <c r="B99" i="1"/>
  <c r="B100" i="1"/>
  <c r="B101" i="1"/>
  <c r="B102" i="1"/>
  <c r="B103" i="1"/>
  <c r="B104" i="1"/>
  <c r="B105" i="1"/>
  <c r="B106" i="1"/>
  <c r="B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94" i="1"/>
  <c r="A104" i="1"/>
  <c r="A105" i="1"/>
  <c r="A106" i="1"/>
  <c r="A94" i="1"/>
  <c r="A95" i="1"/>
  <c r="A96" i="1"/>
  <c r="A97" i="1"/>
  <c r="A98" i="1" s="1"/>
  <c r="A99" i="1" s="1"/>
  <c r="A100" i="1" s="1"/>
  <c r="A101" i="1" s="1"/>
  <c r="A102" i="1" s="1"/>
  <c r="A103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2" i="1"/>
  <c r="A86" i="1"/>
  <c r="A87" i="1" s="1"/>
  <c r="A88" i="1" s="1"/>
  <c r="A89" i="1" s="1"/>
  <c r="A90" i="1" s="1"/>
  <c r="A91" i="1" s="1"/>
  <c r="A92" i="1" s="1"/>
  <c r="A93" i="1" s="1"/>
</calcChain>
</file>

<file path=xl/sharedStrings.xml><?xml version="1.0" encoding="utf-8"?>
<sst xmlns="http://schemas.openxmlformats.org/spreadsheetml/2006/main" count="8" uniqueCount="8">
  <si>
    <t>Periodo</t>
  </si>
  <si>
    <t>Wage Share</t>
  </si>
  <si>
    <t>Profit Share</t>
  </si>
  <si>
    <t>e</t>
  </si>
  <si>
    <t>Exploitation rate</t>
  </si>
  <si>
    <t>wsh</t>
  </si>
  <si>
    <t>psh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</si>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</sst>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3" fillId="0" borderId="0" xfId="1" applyNumberFormat="1" applyFont="1" applyFill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2" fontId="4" fillId="0" borderId="1" xfId="0" applyNumberFormat="1" applyFont="1" applyBorder="1"/>
    <xf numFmtId="2" fontId="0" fillId="0" borderId="1" xfId="0" applyNumberFormat="1" applyBorder="1"/>
    <xf numFmtId="0" fontId="0" fillId="0" borderId="1" xfId="0" applyBorder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/>
    <xf numFmtId="0" fontId="0" fillId="0" borderId="1" xfId="0" applyFont="1" applyBorder="1"/>
  </cellXfs>
  <cellStyles count="2">
    <cellStyle name="Comma 2 2" xfId="1" xr:uid="{70BFF885-58AE-4958-A66D-331F525B8A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Participación de los Salarios en el Ingreso Nacional, Chile  (1920-2024)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values!$B$1</c:f>
              <c:strCache>
                <c:ptCount val="1"/>
                <c:pt idx="0">
                  <c:v>wsh</c:v>
                </c:pt>
              </c:strCache>
            </c:strRef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values!$A$2:$A$106</c:f>
              <c:numCache>
                <c:formatCode>General</c:formatCode>
                <c:ptCount val="105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  <c:pt idx="92">
                  <c:v>2012</c:v>
                </c:pt>
                <c:pt idx="93">
                  <c:v>2013</c:v>
                </c:pt>
                <c:pt idx="94">
                  <c:v>2014</c:v>
                </c:pt>
                <c:pt idx="95">
                  <c:v>2015</c:v>
                </c:pt>
                <c:pt idx="96">
                  <c:v>2016</c:v>
                </c:pt>
                <c:pt idx="97">
                  <c:v>2017</c:v>
                </c:pt>
                <c:pt idx="98">
                  <c:v>2018</c:v>
                </c:pt>
                <c:pt idx="99">
                  <c:v>2019</c:v>
                </c:pt>
                <c:pt idx="100">
                  <c:v>2020</c:v>
                </c:pt>
                <c:pt idx="101">
                  <c:v>2021</c:v>
                </c:pt>
                <c:pt idx="102">
                  <c:v>2022</c:v>
                </c:pt>
                <c:pt idx="103">
                  <c:v>2023</c:v>
                </c:pt>
                <c:pt idx="104">
                  <c:v>2024</c:v>
                </c:pt>
              </c:numCache>
            </c:numRef>
          </c:cat>
          <c:val>
            <c:numRef>
              <c:f>values!$B$2:$B$106</c:f>
              <c:numCache>
                <c:formatCode>0.00</c:formatCode>
                <c:ptCount val="105"/>
                <c:pt idx="0">
                  <c:v>0.51692582055175695</c:v>
                </c:pt>
                <c:pt idx="1">
                  <c:v>0.6558033235305708</c:v>
                </c:pt>
                <c:pt idx="2">
                  <c:v>0.68983696083095469</c:v>
                </c:pt>
                <c:pt idx="3">
                  <c:v>0.60101732230796789</c:v>
                </c:pt>
                <c:pt idx="4">
                  <c:v>0.52169919091568506</c:v>
                </c:pt>
                <c:pt idx="5">
                  <c:v>0.47172645133057045</c:v>
                </c:pt>
                <c:pt idx="6">
                  <c:v>0.56179758512744427</c:v>
                </c:pt>
                <c:pt idx="7">
                  <c:v>0.58759107514602149</c:v>
                </c:pt>
                <c:pt idx="8">
                  <c:v>0.43600868489859101</c:v>
                </c:pt>
                <c:pt idx="9">
                  <c:v>0.56146190563982357</c:v>
                </c:pt>
                <c:pt idx="10">
                  <c:v>0.66864905524223517</c:v>
                </c:pt>
                <c:pt idx="11">
                  <c:v>0.58114368470107824</c:v>
                </c:pt>
                <c:pt idx="12">
                  <c:v>0.46092164869838348</c:v>
                </c:pt>
                <c:pt idx="13">
                  <c:v>0.51899682703026973</c:v>
                </c:pt>
                <c:pt idx="14">
                  <c:v>0.53678866062938446</c:v>
                </c:pt>
                <c:pt idx="15">
                  <c:v>0.57185747888368421</c:v>
                </c:pt>
                <c:pt idx="16">
                  <c:v>0.52853862171213761</c:v>
                </c:pt>
                <c:pt idx="17">
                  <c:v>0.53283113314857933</c:v>
                </c:pt>
                <c:pt idx="18">
                  <c:v>0.55316640741209988</c:v>
                </c:pt>
                <c:pt idx="19">
                  <c:v>0.57853535531294564</c:v>
                </c:pt>
                <c:pt idx="20">
                  <c:v>0.60747078008747069</c:v>
                </c:pt>
                <c:pt idx="21">
                  <c:v>0.61626009742784948</c:v>
                </c:pt>
                <c:pt idx="22">
                  <c:v>0.56756484368608739</c:v>
                </c:pt>
                <c:pt idx="23">
                  <c:v>0.60309919765734965</c:v>
                </c:pt>
                <c:pt idx="24">
                  <c:v>0.62543672105873571</c:v>
                </c:pt>
                <c:pt idx="25">
                  <c:v>0.60445556333954531</c:v>
                </c:pt>
                <c:pt idx="26">
                  <c:v>0.57194355018251375</c:v>
                </c:pt>
                <c:pt idx="27">
                  <c:v>0.6818860563830722</c:v>
                </c:pt>
                <c:pt idx="28">
                  <c:v>0.59472898262467588</c:v>
                </c:pt>
                <c:pt idx="29">
                  <c:v>0.59044158514074674</c:v>
                </c:pt>
                <c:pt idx="30">
                  <c:v>0.56406149659561211</c:v>
                </c:pt>
                <c:pt idx="31">
                  <c:v>0.52674488313604162</c:v>
                </c:pt>
                <c:pt idx="32">
                  <c:v>0.63755932295642515</c:v>
                </c:pt>
                <c:pt idx="33">
                  <c:v>0.43357146819180653</c:v>
                </c:pt>
                <c:pt idx="34">
                  <c:v>0.42522651626408575</c:v>
                </c:pt>
                <c:pt idx="35">
                  <c:v>0.41849944096052066</c:v>
                </c:pt>
                <c:pt idx="36">
                  <c:v>0.51173404390044341</c:v>
                </c:pt>
                <c:pt idx="37">
                  <c:v>0.5364323677274111</c:v>
                </c:pt>
                <c:pt idx="38">
                  <c:v>0.44678003268653316</c:v>
                </c:pt>
                <c:pt idx="39">
                  <c:v>0.57507761927631906</c:v>
                </c:pt>
                <c:pt idx="40">
                  <c:v>0.60931266574517762</c:v>
                </c:pt>
                <c:pt idx="41">
                  <c:v>0.65889626125439449</c:v>
                </c:pt>
                <c:pt idx="42">
                  <c:v>0.59419051937725131</c:v>
                </c:pt>
                <c:pt idx="43">
                  <c:v>0.55768144220705251</c:v>
                </c:pt>
                <c:pt idx="44">
                  <c:v>0.67677427397315781</c:v>
                </c:pt>
                <c:pt idx="45">
                  <c:v>0.63810886917257281</c:v>
                </c:pt>
                <c:pt idx="46">
                  <c:v>0.55349565676106405</c:v>
                </c:pt>
                <c:pt idx="47">
                  <c:v>0.5791916250038267</c:v>
                </c:pt>
                <c:pt idx="48">
                  <c:v>0.53940790971210906</c:v>
                </c:pt>
                <c:pt idx="49">
                  <c:v>0.50053145229905127</c:v>
                </c:pt>
                <c:pt idx="50">
                  <c:v>0.50927676619233542</c:v>
                </c:pt>
                <c:pt idx="51">
                  <c:v>0.56231700542147456</c:v>
                </c:pt>
                <c:pt idx="52">
                  <c:v>0.69034773850784814</c:v>
                </c:pt>
                <c:pt idx="53">
                  <c:v>0.54502867223101148</c:v>
                </c:pt>
                <c:pt idx="54">
                  <c:v>0.3944709808320595</c:v>
                </c:pt>
                <c:pt idx="55">
                  <c:v>0.49271994187133672</c:v>
                </c:pt>
                <c:pt idx="56">
                  <c:v>0.48558128290102798</c:v>
                </c:pt>
                <c:pt idx="57">
                  <c:v>0.50441831291226913</c:v>
                </c:pt>
                <c:pt idx="58">
                  <c:v>0.44556606720713365</c:v>
                </c:pt>
                <c:pt idx="59">
                  <c:v>0.42999958432581764</c:v>
                </c:pt>
                <c:pt idx="60">
                  <c:v>0.46401632067622139</c:v>
                </c:pt>
                <c:pt idx="61">
                  <c:v>0.54151622923491183</c:v>
                </c:pt>
                <c:pt idx="62">
                  <c:v>0.60641767497165833</c:v>
                </c:pt>
                <c:pt idx="63">
                  <c:v>0.57024788471405963</c:v>
                </c:pt>
                <c:pt idx="64">
                  <c:v>0.56476104797272131</c:v>
                </c:pt>
                <c:pt idx="65">
                  <c:v>0.48140436278129589</c:v>
                </c:pt>
                <c:pt idx="66">
                  <c:v>0.47753279064535087</c:v>
                </c:pt>
                <c:pt idx="67">
                  <c:v>0.44658583481987651</c:v>
                </c:pt>
                <c:pt idx="68">
                  <c:v>0.41563369995406857</c:v>
                </c:pt>
                <c:pt idx="69">
                  <c:v>0.41624399079120317</c:v>
                </c:pt>
                <c:pt idx="70">
                  <c:v>0.4656652389700015</c:v>
                </c:pt>
                <c:pt idx="71">
                  <c:v>0.43418302716237978</c:v>
                </c:pt>
                <c:pt idx="72">
                  <c:v>0.41500364282560354</c:v>
                </c:pt>
                <c:pt idx="73">
                  <c:v>0.40610287960314789</c:v>
                </c:pt>
                <c:pt idx="74">
                  <c:v>0.40662804140629971</c:v>
                </c:pt>
                <c:pt idx="75">
                  <c:v>0.38666700959116751</c:v>
                </c:pt>
                <c:pt idx="76">
                  <c:v>0.40248806579430851</c:v>
                </c:pt>
                <c:pt idx="77">
                  <c:v>0.39725743874928116</c:v>
                </c:pt>
                <c:pt idx="78">
                  <c:v>0.40509583309046837</c:v>
                </c:pt>
                <c:pt idx="79">
                  <c:v>0.42510299621684927</c:v>
                </c:pt>
                <c:pt idx="80">
                  <c:v>0.42616509108608891</c:v>
                </c:pt>
                <c:pt idx="81">
                  <c:v>0.41835460821123621</c:v>
                </c:pt>
                <c:pt idx="82">
                  <c:v>0.42689901838608074</c:v>
                </c:pt>
                <c:pt idx="83">
                  <c:v>0.42595513728628881</c:v>
                </c:pt>
                <c:pt idx="84">
                  <c:v>0.40182359499390202</c:v>
                </c:pt>
                <c:pt idx="85">
                  <c:v>0.38874700015954283</c:v>
                </c:pt>
                <c:pt idx="86">
                  <c:v>0.36517520660249952</c:v>
                </c:pt>
                <c:pt idx="87">
                  <c:v>0.35591823434574471</c:v>
                </c:pt>
                <c:pt idx="88">
                  <c:v>0.37680386067090438</c:v>
                </c:pt>
                <c:pt idx="89">
                  <c:v>0.39185997670869921</c:v>
                </c:pt>
                <c:pt idx="90">
                  <c:v>0.37497555589606663</c:v>
                </c:pt>
                <c:pt idx="91">
                  <c:v>0.37380980481865861</c:v>
                </c:pt>
                <c:pt idx="92">
                  <c:v>0.35305430146693795</c:v>
                </c:pt>
                <c:pt idx="93">
                  <c:v>0.33749975947798416</c:v>
                </c:pt>
                <c:pt idx="94">
                  <c:v>0.34023622452197921</c:v>
                </c:pt>
                <c:pt idx="95">
                  <c:v>0.33483171428769876</c:v>
                </c:pt>
                <c:pt idx="96">
                  <c:v>0.32936029513786924</c:v>
                </c:pt>
                <c:pt idx="97">
                  <c:v>0.32983439287067107</c:v>
                </c:pt>
                <c:pt idx="98">
                  <c:v>0.31796797326268644</c:v>
                </c:pt>
                <c:pt idx="99">
                  <c:v>0.30491389912844113</c:v>
                </c:pt>
                <c:pt idx="100">
                  <c:v>0.33881870829853311</c:v>
                </c:pt>
                <c:pt idx="101">
                  <c:v>0.3678456619978876</c:v>
                </c:pt>
                <c:pt idx="102">
                  <c:v>0.34493381229653597</c:v>
                </c:pt>
                <c:pt idx="103">
                  <c:v>0.32695402044357935</c:v>
                </c:pt>
                <c:pt idx="104">
                  <c:v>0.35876123872429855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08-471C-AA3B-266E0AEC5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153439"/>
        <c:axId val="253153919"/>
      </c:lineChart>
      <c:catAx>
        <c:axId val="2531534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381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3153919"/>
        <c:crossesAt val="0.1"/>
        <c:auto val="1"/>
        <c:lblAlgn val="ctr"/>
        <c:lblOffset val="100"/>
        <c:tickLblSkip val="1"/>
        <c:noMultiLvlLbl val="0"/>
      </c:catAx>
      <c:valAx>
        <c:axId val="253153919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31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533399</xdr:colOff>
      <xdr:row>6</xdr:row>
      <xdr:rowOff>185735</xdr:rowOff>
    </xdr:from>
    <xdr:to>
      <xdr:col>19</xdr:col>
      <xdr:colOff>238125</xdr:colOff>
      <xdr:row>40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EBFCA3-A448-5C35-B72D-304DD6085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eposGitHub\Capacity-Utilization-US_Chile\data\raw\Chile\Astorga2023_SupM3.xlsx" TargetMode="External"/><Relationship Id="rId1" Type="http://schemas.openxmlformats.org/officeDocument/2006/relationships/externalLinkPath" Target="Astorga2023_SupM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eposGitHub\Capacity-Utilization-US_Chile\data\raw\Chile\CentralBank_RentsShares.xlsx" TargetMode="External"/><Relationship Id="rId1" Type="http://schemas.openxmlformats.org/officeDocument/2006/relationships/externalLinkPath" Target="CentralBank_RentsSha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erence"/>
      <sheetName val="Argentina"/>
      <sheetName val="Brazil"/>
      <sheetName val="Chile"/>
      <sheetName val="Colombia"/>
      <sheetName val="Mexico"/>
      <sheetName val="Venezuela"/>
      <sheetName val="LA6"/>
    </sheetNames>
    <sheetDataSet>
      <sheetData sheetId="0" refreshError="1"/>
      <sheetData sheetId="1" refreshError="1"/>
      <sheetData sheetId="2" refreshError="1"/>
      <sheetData sheetId="3">
        <row r="8">
          <cell r="P8">
            <v>0.51692582055175695</v>
          </cell>
        </row>
        <row r="9">
          <cell r="P9">
            <v>0.6558033235305708</v>
          </cell>
        </row>
        <row r="10">
          <cell r="P10">
            <v>0.68983696083095469</v>
          </cell>
        </row>
        <row r="11">
          <cell r="P11">
            <v>0.60101732230796789</v>
          </cell>
        </row>
        <row r="12">
          <cell r="P12">
            <v>0.52169919091568506</v>
          </cell>
        </row>
        <row r="13">
          <cell r="P13">
            <v>0.47172645133057045</v>
          </cell>
        </row>
        <row r="14">
          <cell r="P14">
            <v>0.56179758512744427</v>
          </cell>
        </row>
        <row r="15">
          <cell r="P15">
            <v>0.58759107514602149</v>
          </cell>
        </row>
        <row r="16">
          <cell r="P16">
            <v>0.43600868489859101</v>
          </cell>
        </row>
        <row r="17">
          <cell r="P17">
            <v>0.56146190563982357</v>
          </cell>
        </row>
        <row r="18">
          <cell r="P18">
            <v>0.66864905524223517</v>
          </cell>
        </row>
        <row r="19">
          <cell r="P19">
            <v>0.58114368470107824</v>
          </cell>
        </row>
        <row r="20">
          <cell r="P20">
            <v>0.46092164869838348</v>
          </cell>
        </row>
        <row r="21">
          <cell r="P21">
            <v>0.51899682703026973</v>
          </cell>
        </row>
        <row r="22">
          <cell r="P22">
            <v>0.53678866062938446</v>
          </cell>
        </row>
        <row r="23">
          <cell r="P23">
            <v>0.57185747888368421</v>
          </cell>
        </row>
        <row r="24">
          <cell r="P24">
            <v>0.52853862171213761</v>
          </cell>
        </row>
        <row r="25">
          <cell r="P25">
            <v>0.53283113314857933</v>
          </cell>
        </row>
        <row r="26">
          <cell r="P26">
            <v>0.55316640741209988</v>
          </cell>
        </row>
        <row r="27">
          <cell r="P27">
            <v>0.57853535531294564</v>
          </cell>
        </row>
        <row r="28">
          <cell r="P28">
            <v>0.60747078008747069</v>
          </cell>
        </row>
        <row r="29">
          <cell r="P29">
            <v>0.61626009742784948</v>
          </cell>
        </row>
        <row r="30">
          <cell r="P30">
            <v>0.56756484368608739</v>
          </cell>
        </row>
        <row r="31">
          <cell r="P31">
            <v>0.60309919765734965</v>
          </cell>
        </row>
        <row r="32">
          <cell r="P32">
            <v>0.62543672105873571</v>
          </cell>
        </row>
        <row r="33">
          <cell r="P33">
            <v>0.60445556333954531</v>
          </cell>
        </row>
        <row r="34">
          <cell r="P34">
            <v>0.57194355018251375</v>
          </cell>
        </row>
        <row r="35">
          <cell r="P35">
            <v>0.6818860563830722</v>
          </cell>
        </row>
        <row r="36">
          <cell r="P36">
            <v>0.59472898262467588</v>
          </cell>
        </row>
        <row r="37">
          <cell r="P37">
            <v>0.59044158514074674</v>
          </cell>
        </row>
        <row r="38">
          <cell r="P38">
            <v>0.56406149659561211</v>
          </cell>
        </row>
        <row r="39">
          <cell r="P39">
            <v>0.52674488313604162</v>
          </cell>
        </row>
        <row r="40">
          <cell r="P40">
            <v>0.63755932295642515</v>
          </cell>
        </row>
        <row r="41">
          <cell r="P41">
            <v>0.43357146819180653</v>
          </cell>
        </row>
        <row r="42">
          <cell r="P42">
            <v>0.42522651626408575</v>
          </cell>
        </row>
        <row r="43">
          <cell r="P43">
            <v>0.41849944096052066</v>
          </cell>
        </row>
        <row r="44">
          <cell r="P44">
            <v>0.51173404390044341</v>
          </cell>
        </row>
        <row r="45">
          <cell r="P45">
            <v>0.5364323677274111</v>
          </cell>
        </row>
        <row r="46">
          <cell r="P46">
            <v>0.44678003268653316</v>
          </cell>
        </row>
        <row r="47">
          <cell r="P47">
            <v>0.57507761927631906</v>
          </cell>
        </row>
        <row r="48">
          <cell r="P48">
            <v>0.60931266574517762</v>
          </cell>
        </row>
        <row r="49">
          <cell r="P49">
            <v>0.65889626125439449</v>
          </cell>
        </row>
        <row r="50">
          <cell r="P50">
            <v>0.59419051937725131</v>
          </cell>
        </row>
        <row r="51">
          <cell r="P51">
            <v>0.55768144220705251</v>
          </cell>
        </row>
        <row r="52">
          <cell r="P52">
            <v>0.67677427397315781</v>
          </cell>
        </row>
        <row r="53">
          <cell r="P53">
            <v>0.63810886917257281</v>
          </cell>
        </row>
        <row r="54">
          <cell r="P54">
            <v>0.55349565676106405</v>
          </cell>
        </row>
        <row r="55">
          <cell r="P55">
            <v>0.5791916250038267</v>
          </cell>
        </row>
        <row r="56">
          <cell r="P56">
            <v>0.53940790971210906</v>
          </cell>
        </row>
        <row r="57">
          <cell r="P57">
            <v>0.50053145229905127</v>
          </cell>
        </row>
        <row r="58">
          <cell r="P58">
            <v>0.50927676619233542</v>
          </cell>
        </row>
        <row r="59">
          <cell r="P59">
            <v>0.56231700542147456</v>
          </cell>
        </row>
        <row r="60">
          <cell r="P60">
            <v>0.69034773850784814</v>
          </cell>
        </row>
        <row r="61">
          <cell r="P61">
            <v>0.54502867223101148</v>
          </cell>
        </row>
        <row r="62">
          <cell r="P62">
            <v>0.3944709808320595</v>
          </cell>
        </row>
        <row r="63">
          <cell r="P63">
            <v>0.49271994187133672</v>
          </cell>
        </row>
        <row r="64">
          <cell r="P64">
            <v>0.48558128290102798</v>
          </cell>
        </row>
        <row r="65">
          <cell r="P65">
            <v>0.50441831291226913</v>
          </cell>
        </row>
        <row r="66">
          <cell r="P66">
            <v>0.44556606720713365</v>
          </cell>
        </row>
        <row r="67">
          <cell r="P67">
            <v>0.42999958432581764</v>
          </cell>
        </row>
        <row r="68">
          <cell r="P68">
            <v>0.46401632067622139</v>
          </cell>
        </row>
        <row r="69">
          <cell r="P69">
            <v>0.54151622923491183</v>
          </cell>
        </row>
        <row r="70">
          <cell r="P70">
            <v>0.60641767497165833</v>
          </cell>
        </row>
        <row r="71">
          <cell r="P71">
            <v>0.57024788471405963</v>
          </cell>
        </row>
        <row r="72">
          <cell r="P72">
            <v>0.56476104797272131</v>
          </cell>
        </row>
        <row r="73">
          <cell r="P73">
            <v>0.48140436278129589</v>
          </cell>
        </row>
        <row r="74">
          <cell r="P74">
            <v>0.47753279064535087</v>
          </cell>
        </row>
        <row r="75">
          <cell r="P75">
            <v>0.44658583481987651</v>
          </cell>
        </row>
        <row r="76">
          <cell r="P76">
            <v>0.41563369995406857</v>
          </cell>
        </row>
        <row r="77">
          <cell r="P77">
            <v>0.41624399079120317</v>
          </cell>
        </row>
        <row r="78">
          <cell r="P78">
            <v>0.4656652389700015</v>
          </cell>
        </row>
        <row r="79">
          <cell r="P79">
            <v>0.43418302716237978</v>
          </cell>
        </row>
        <row r="80">
          <cell r="P80">
            <v>0.41500364282560354</v>
          </cell>
        </row>
        <row r="81">
          <cell r="P81">
            <v>0.40610287960314789</v>
          </cell>
        </row>
        <row r="82">
          <cell r="P82">
            <v>0.40662804140629971</v>
          </cell>
        </row>
        <row r="83">
          <cell r="P83">
            <v>0.38666700959116751</v>
          </cell>
        </row>
        <row r="84">
          <cell r="P84">
            <v>0.40248806579430851</v>
          </cell>
        </row>
        <row r="85">
          <cell r="P85">
            <v>0.39725743874928116</v>
          </cell>
        </row>
        <row r="86">
          <cell r="P86">
            <v>0.40509583309046837</v>
          </cell>
        </row>
        <row r="87">
          <cell r="P87">
            <v>0.42510299621684927</v>
          </cell>
        </row>
        <row r="88">
          <cell r="P88">
            <v>0.42616509108608891</v>
          </cell>
        </row>
        <row r="89">
          <cell r="P89">
            <v>0.41835460821123621</v>
          </cell>
        </row>
        <row r="90">
          <cell r="P90">
            <v>0.42689901838608074</v>
          </cell>
        </row>
        <row r="91">
          <cell r="P91">
            <v>0.42595513728628881</v>
          </cell>
        </row>
        <row r="92">
          <cell r="P92">
            <v>0.40182359499390202</v>
          </cell>
        </row>
        <row r="93">
          <cell r="P93">
            <v>0.38874700015954283</v>
          </cell>
        </row>
        <row r="94">
          <cell r="P94">
            <v>0.36517520660249952</v>
          </cell>
        </row>
        <row r="95">
          <cell r="P95">
            <v>0.35591823434574471</v>
          </cell>
        </row>
        <row r="96">
          <cell r="P96">
            <v>0.37680386067090438</v>
          </cell>
        </row>
        <row r="97">
          <cell r="P97">
            <v>0.39185997670869921</v>
          </cell>
        </row>
        <row r="98">
          <cell r="P98">
            <v>0.37497555589606663</v>
          </cell>
        </row>
        <row r="99">
          <cell r="P99">
            <v>0.37380980481865861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nasta"/>
      <sheetName val="ProfitShare"/>
    </sheetNames>
    <sheetDataSet>
      <sheetData sheetId="0" refreshError="1"/>
      <sheetData sheetId="1">
        <row r="11">
          <cell r="D11">
            <v>1.0331456856262498</v>
          </cell>
        </row>
        <row r="12">
          <cell r="D12">
            <v>1.0579856497595899</v>
          </cell>
        </row>
        <row r="13">
          <cell r="D13">
            <v>1.0536156275761499</v>
          </cell>
        </row>
        <row r="14">
          <cell r="D14">
            <v>1.0622464082492893</v>
          </cell>
        </row>
        <row r="15">
          <cell r="D15">
            <v>1.070984039710039</v>
          </cell>
        </row>
        <row r="16">
          <cell r="D16">
            <v>1.0702269251201746</v>
          </cell>
        </row>
        <row r="17">
          <cell r="D17">
            <v>1.0891771094240796</v>
          </cell>
        </row>
        <row r="18">
          <cell r="D18">
            <v>1.1100239291837932</v>
          </cell>
        </row>
        <row r="19">
          <cell r="D19">
            <v>1.055879342713107</v>
          </cell>
        </row>
        <row r="20">
          <cell r="D20">
            <v>1.00952449090814</v>
          </cell>
        </row>
        <row r="21">
          <cell r="D21">
            <v>1.0461137730107071</v>
          </cell>
        </row>
        <row r="22">
          <cell r="D22">
            <v>1.0748267614786113</v>
          </cell>
        </row>
        <row r="23">
          <cell r="D23">
            <v>1.0240319414295558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FBA2-803B-48E6-B5BB-FFFEF3E4E576}">
  <dimension ref="A1:D107"/>
  <sheetViews>
    <sheetView topLeftCell="A8" workbookViewId="0">
      <selection activeCell="H107" sqref="H107"/>
    </sheetView>
  </sheetViews>
  <sheetFormatPr baseColWidth="10" defaultRowHeight="15" x14ac:dyDescent="0.25"/>
  <cols>
    <col min="1" max="1" width="7.85546875" bestFit="1" customWidth="1"/>
    <col min="4" max="4" width="15.2851562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3">
        <v>1920</v>
      </c>
      <c r="B2" s="4">
        <f>[1]Chile!P8</f>
        <v>0.51692582055175695</v>
      </c>
      <c r="C2" s="5">
        <f>1-B2</f>
        <v>0.48307417944824305</v>
      </c>
      <c r="D2" s="6">
        <f>C2/B2</f>
        <v>0.93451354187070534</v>
      </c>
    </row>
    <row r="3" spans="1:4" x14ac:dyDescent="0.25">
      <c r="A3" s="3">
        <v>1921</v>
      </c>
      <c r="B3" s="4">
        <f>[1]Chile!P9</f>
        <v>0.6558033235305708</v>
      </c>
      <c r="C3" s="5">
        <f t="shared" ref="C3:C66" si="0">1-B3</f>
        <v>0.3441966764694292</v>
      </c>
      <c r="D3" s="6">
        <f t="shared" ref="D3:D66" si="1">C3/B3</f>
        <v>0.52484741098355259</v>
      </c>
    </row>
    <row r="4" spans="1:4" x14ac:dyDescent="0.25">
      <c r="A4" s="3">
        <v>1922</v>
      </c>
      <c r="B4" s="4">
        <f>[1]Chile!P10</f>
        <v>0.68983696083095469</v>
      </c>
      <c r="C4" s="5">
        <f t="shared" si="0"/>
        <v>0.31016303916904531</v>
      </c>
      <c r="D4" s="6">
        <f t="shared" si="1"/>
        <v>0.44961789057436585</v>
      </c>
    </row>
    <row r="5" spans="1:4" x14ac:dyDescent="0.25">
      <c r="A5" s="3">
        <v>1923</v>
      </c>
      <c r="B5" s="4">
        <f>[1]Chile!P11</f>
        <v>0.60101732230796789</v>
      </c>
      <c r="C5" s="5">
        <f t="shared" si="0"/>
        <v>0.39898267769203211</v>
      </c>
      <c r="D5" s="6">
        <f t="shared" si="1"/>
        <v>0.66384555466703998</v>
      </c>
    </row>
    <row r="6" spans="1:4" x14ac:dyDescent="0.25">
      <c r="A6" s="3">
        <v>1924</v>
      </c>
      <c r="B6" s="4">
        <f>[1]Chile!P12</f>
        <v>0.52169919091568506</v>
      </c>
      <c r="C6" s="5">
        <f t="shared" si="0"/>
        <v>0.47830080908431494</v>
      </c>
      <c r="D6" s="6">
        <f t="shared" si="1"/>
        <v>0.91681340016035406</v>
      </c>
    </row>
    <row r="7" spans="1:4" x14ac:dyDescent="0.25">
      <c r="A7" s="3">
        <v>1925</v>
      </c>
      <c r="B7" s="4">
        <f>[1]Chile!P13</f>
        <v>0.47172645133057045</v>
      </c>
      <c r="C7" s="5">
        <f t="shared" si="0"/>
        <v>0.52827354866942955</v>
      </c>
      <c r="D7" s="6">
        <f t="shared" si="1"/>
        <v>1.1198726447909801</v>
      </c>
    </row>
    <row r="8" spans="1:4" x14ac:dyDescent="0.25">
      <c r="A8" s="3">
        <v>1926</v>
      </c>
      <c r="B8" s="4">
        <f>[1]Chile!P14</f>
        <v>0.56179758512744427</v>
      </c>
      <c r="C8" s="5">
        <f t="shared" si="0"/>
        <v>0.43820241487255573</v>
      </c>
      <c r="D8" s="6">
        <f t="shared" si="1"/>
        <v>0.78000053128236413</v>
      </c>
    </row>
    <row r="9" spans="1:4" x14ac:dyDescent="0.25">
      <c r="A9" s="3">
        <v>1927</v>
      </c>
      <c r="B9" s="4">
        <f>[1]Chile!P15</f>
        <v>0.58759107514602149</v>
      </c>
      <c r="C9" s="5">
        <f t="shared" si="0"/>
        <v>0.41240892485397851</v>
      </c>
      <c r="D9" s="6">
        <f t="shared" si="1"/>
        <v>0.70186383404732844</v>
      </c>
    </row>
    <row r="10" spans="1:4" x14ac:dyDescent="0.25">
      <c r="A10" s="3">
        <v>1928</v>
      </c>
      <c r="B10" s="4">
        <f>[1]Chile!P16</f>
        <v>0.43600868489859101</v>
      </c>
      <c r="C10" s="5">
        <f t="shared" si="0"/>
        <v>0.56399131510140899</v>
      </c>
      <c r="D10" s="6">
        <f t="shared" si="1"/>
        <v>1.2935322956527455</v>
      </c>
    </row>
    <row r="11" spans="1:4" x14ac:dyDescent="0.25">
      <c r="A11" s="3">
        <v>1929</v>
      </c>
      <c r="B11" s="4">
        <f>[1]Chile!P17</f>
        <v>0.56146190563982357</v>
      </c>
      <c r="C11" s="5">
        <f t="shared" si="0"/>
        <v>0.43853809436017643</v>
      </c>
      <c r="D11" s="6">
        <f t="shared" si="1"/>
        <v>0.78106473467764981</v>
      </c>
    </row>
    <row r="12" spans="1:4" x14ac:dyDescent="0.25">
      <c r="A12" s="3">
        <v>1930</v>
      </c>
      <c r="B12" s="4">
        <f>[1]Chile!P18</f>
        <v>0.66864905524223517</v>
      </c>
      <c r="C12" s="5">
        <f t="shared" si="0"/>
        <v>0.33135094475776483</v>
      </c>
      <c r="D12" s="6">
        <f t="shared" si="1"/>
        <v>0.49555284967496815</v>
      </c>
    </row>
    <row r="13" spans="1:4" x14ac:dyDescent="0.25">
      <c r="A13" s="3">
        <v>1931</v>
      </c>
      <c r="B13" s="4">
        <f>[1]Chile!P19</f>
        <v>0.58114368470107824</v>
      </c>
      <c r="C13" s="5">
        <f t="shared" si="0"/>
        <v>0.41885631529892176</v>
      </c>
      <c r="D13" s="6">
        <f t="shared" si="1"/>
        <v>0.72074484559591845</v>
      </c>
    </row>
    <row r="14" spans="1:4" x14ac:dyDescent="0.25">
      <c r="A14" s="3">
        <v>1932</v>
      </c>
      <c r="B14" s="4">
        <f>[1]Chile!P20</f>
        <v>0.46092164869838348</v>
      </c>
      <c r="C14" s="5">
        <f t="shared" si="0"/>
        <v>0.53907835130161652</v>
      </c>
      <c r="D14" s="6">
        <f t="shared" si="1"/>
        <v>1.1695661352074547</v>
      </c>
    </row>
    <row r="15" spans="1:4" x14ac:dyDescent="0.25">
      <c r="A15" s="3">
        <v>1933</v>
      </c>
      <c r="B15" s="4">
        <f>[1]Chile!P21</f>
        <v>0.51899682703026973</v>
      </c>
      <c r="C15" s="5">
        <f t="shared" si="0"/>
        <v>0.48100317296973027</v>
      </c>
      <c r="D15" s="6">
        <f t="shared" si="1"/>
        <v>0.9267940532932708</v>
      </c>
    </row>
    <row r="16" spans="1:4" x14ac:dyDescent="0.25">
      <c r="A16" s="3">
        <v>1934</v>
      </c>
      <c r="B16" s="4">
        <f>[1]Chile!P22</f>
        <v>0.53678866062938446</v>
      </c>
      <c r="C16" s="5">
        <f t="shared" si="0"/>
        <v>0.46321133937061554</v>
      </c>
      <c r="D16" s="6">
        <f t="shared" si="1"/>
        <v>0.86293055972438104</v>
      </c>
    </row>
    <row r="17" spans="1:4" x14ac:dyDescent="0.25">
      <c r="A17" s="3">
        <v>1935</v>
      </c>
      <c r="B17" s="4">
        <f>[1]Chile!P23</f>
        <v>0.57185747888368421</v>
      </c>
      <c r="C17" s="5">
        <f t="shared" si="0"/>
        <v>0.42814252111631579</v>
      </c>
      <c r="D17" s="6">
        <f t="shared" si="1"/>
        <v>0.74868745609847998</v>
      </c>
    </row>
    <row r="18" spans="1:4" x14ac:dyDescent="0.25">
      <c r="A18" s="3">
        <v>1936</v>
      </c>
      <c r="B18" s="4">
        <f>[1]Chile!P24</f>
        <v>0.52853862171213761</v>
      </c>
      <c r="C18" s="5">
        <f t="shared" si="0"/>
        <v>0.47146137828786239</v>
      </c>
      <c r="D18" s="6">
        <f t="shared" si="1"/>
        <v>0.89200932329338523</v>
      </c>
    </row>
    <row r="19" spans="1:4" x14ac:dyDescent="0.25">
      <c r="A19" s="3">
        <v>1937</v>
      </c>
      <c r="B19" s="4">
        <f>[1]Chile!P25</f>
        <v>0.53283113314857933</v>
      </c>
      <c r="C19" s="5">
        <f t="shared" si="0"/>
        <v>0.46716886685142067</v>
      </c>
      <c r="D19" s="6">
        <f t="shared" si="1"/>
        <v>0.876767211575738</v>
      </c>
    </row>
    <row r="20" spans="1:4" x14ac:dyDescent="0.25">
      <c r="A20" s="3">
        <v>1938</v>
      </c>
      <c r="B20" s="4">
        <f>[1]Chile!P26</f>
        <v>0.55316640741209988</v>
      </c>
      <c r="C20" s="5">
        <f t="shared" si="0"/>
        <v>0.44683359258790012</v>
      </c>
      <c r="D20" s="6">
        <f t="shared" si="1"/>
        <v>0.80777427298656701</v>
      </c>
    </row>
    <row r="21" spans="1:4" x14ac:dyDescent="0.25">
      <c r="A21" s="3">
        <v>1939</v>
      </c>
      <c r="B21" s="4">
        <f>[1]Chile!P27</f>
        <v>0.57853535531294564</v>
      </c>
      <c r="C21" s="5">
        <f t="shared" si="0"/>
        <v>0.42146464468705436</v>
      </c>
      <c r="D21" s="6">
        <f t="shared" si="1"/>
        <v>0.72850283187804932</v>
      </c>
    </row>
    <row r="22" spans="1:4" x14ac:dyDescent="0.25">
      <c r="A22" s="3">
        <v>1940</v>
      </c>
      <c r="B22" s="4">
        <f>[1]Chile!P28</f>
        <v>0.60747078008747069</v>
      </c>
      <c r="C22" s="5">
        <f t="shared" si="0"/>
        <v>0.39252921991252931</v>
      </c>
      <c r="D22" s="6">
        <f t="shared" si="1"/>
        <v>0.64616971347331043</v>
      </c>
    </row>
    <row r="23" spans="1:4" x14ac:dyDescent="0.25">
      <c r="A23" s="3">
        <v>1941</v>
      </c>
      <c r="B23" s="4">
        <f>[1]Chile!P29</f>
        <v>0.61626009742784948</v>
      </c>
      <c r="C23" s="5">
        <f t="shared" si="0"/>
        <v>0.38373990257215052</v>
      </c>
      <c r="D23" s="6">
        <f t="shared" si="1"/>
        <v>0.62269146448684032</v>
      </c>
    </row>
    <row r="24" spans="1:4" x14ac:dyDescent="0.25">
      <c r="A24" s="3">
        <v>1942</v>
      </c>
      <c r="B24" s="4">
        <f>[1]Chile!P30</f>
        <v>0.56756484368608739</v>
      </c>
      <c r="C24" s="5">
        <f t="shared" si="0"/>
        <v>0.43243515631391261</v>
      </c>
      <c r="D24" s="6">
        <f t="shared" si="1"/>
        <v>0.76191321771347553</v>
      </c>
    </row>
    <row r="25" spans="1:4" x14ac:dyDescent="0.25">
      <c r="A25" s="3">
        <v>1943</v>
      </c>
      <c r="B25" s="4">
        <f>[1]Chile!P31</f>
        <v>0.60309919765734965</v>
      </c>
      <c r="C25" s="5">
        <f t="shared" si="0"/>
        <v>0.39690080234265035</v>
      </c>
      <c r="D25" s="6">
        <f t="shared" si="1"/>
        <v>0.6581020234885957</v>
      </c>
    </row>
    <row r="26" spans="1:4" x14ac:dyDescent="0.25">
      <c r="A26" s="3">
        <v>1944</v>
      </c>
      <c r="B26" s="4">
        <f>[1]Chile!P32</f>
        <v>0.62543672105873571</v>
      </c>
      <c r="C26" s="5">
        <f t="shared" si="0"/>
        <v>0.37456327894126429</v>
      </c>
      <c r="D26" s="6">
        <f t="shared" si="1"/>
        <v>0.59888277475490359</v>
      </c>
    </row>
    <row r="27" spans="1:4" x14ac:dyDescent="0.25">
      <c r="A27" s="3">
        <v>1945</v>
      </c>
      <c r="B27" s="4">
        <f>[1]Chile!P33</f>
        <v>0.60445556333954531</v>
      </c>
      <c r="C27" s="5">
        <f t="shared" si="0"/>
        <v>0.39554443666045469</v>
      </c>
      <c r="D27" s="6">
        <f t="shared" si="1"/>
        <v>0.65438133197934123</v>
      </c>
    </row>
    <row r="28" spans="1:4" x14ac:dyDescent="0.25">
      <c r="A28" s="3">
        <v>1946</v>
      </c>
      <c r="B28" s="4">
        <f>[1]Chile!P34</f>
        <v>0.57194355018251375</v>
      </c>
      <c r="C28" s="5">
        <f t="shared" si="0"/>
        <v>0.42805644981748625</v>
      </c>
      <c r="D28" s="6">
        <f t="shared" si="1"/>
        <v>0.74842429760924578</v>
      </c>
    </row>
    <row r="29" spans="1:4" x14ac:dyDescent="0.25">
      <c r="A29" s="3">
        <v>1947</v>
      </c>
      <c r="B29" s="4">
        <f>[1]Chile!P35</f>
        <v>0.6818860563830722</v>
      </c>
      <c r="C29" s="5">
        <f t="shared" si="0"/>
        <v>0.3181139436169278</v>
      </c>
      <c r="D29" s="6">
        <f t="shared" si="1"/>
        <v>0.46652067546929965</v>
      </c>
    </row>
    <row r="30" spans="1:4" x14ac:dyDescent="0.25">
      <c r="A30" s="3">
        <v>1948</v>
      </c>
      <c r="B30" s="4">
        <f>[1]Chile!P36</f>
        <v>0.59472898262467588</v>
      </c>
      <c r="C30" s="5">
        <f t="shared" si="0"/>
        <v>0.40527101737532412</v>
      </c>
      <c r="D30" s="6">
        <f t="shared" si="1"/>
        <v>0.68143814950260173</v>
      </c>
    </row>
    <row r="31" spans="1:4" x14ac:dyDescent="0.25">
      <c r="A31" s="3">
        <v>1949</v>
      </c>
      <c r="B31" s="4">
        <f>[1]Chile!P37</f>
        <v>0.59044158514074674</v>
      </c>
      <c r="C31" s="5">
        <f t="shared" si="0"/>
        <v>0.40955841485925326</v>
      </c>
      <c r="D31" s="6">
        <f t="shared" si="1"/>
        <v>0.69364764468888929</v>
      </c>
    </row>
    <row r="32" spans="1:4" x14ac:dyDescent="0.25">
      <c r="A32" s="3">
        <v>1950</v>
      </c>
      <c r="B32" s="4">
        <f>[1]Chile!P38</f>
        <v>0.56406149659561211</v>
      </c>
      <c r="C32" s="5">
        <f t="shared" si="0"/>
        <v>0.43593850340438789</v>
      </c>
      <c r="D32" s="6">
        <f t="shared" si="1"/>
        <v>0.77285633930961539</v>
      </c>
    </row>
    <row r="33" spans="1:4" x14ac:dyDescent="0.25">
      <c r="A33" s="3">
        <v>1951</v>
      </c>
      <c r="B33" s="4">
        <f>[1]Chile!P39</f>
        <v>0.52674488313604162</v>
      </c>
      <c r="C33" s="5">
        <f t="shared" si="0"/>
        <v>0.47325511686395838</v>
      </c>
      <c r="D33" s="6">
        <f t="shared" si="1"/>
        <v>0.8984522337386075</v>
      </c>
    </row>
    <row r="34" spans="1:4" x14ac:dyDescent="0.25">
      <c r="A34" s="3">
        <v>1952</v>
      </c>
      <c r="B34" s="4">
        <f>[1]Chile!P40</f>
        <v>0.63755932295642515</v>
      </c>
      <c r="C34" s="5">
        <f t="shared" si="0"/>
        <v>0.36244067704357485</v>
      </c>
      <c r="D34" s="6">
        <f t="shared" si="1"/>
        <v>0.56848149496567923</v>
      </c>
    </row>
    <row r="35" spans="1:4" x14ac:dyDescent="0.25">
      <c r="A35" s="3">
        <v>1953</v>
      </c>
      <c r="B35" s="4">
        <f>[1]Chile!P41</f>
        <v>0.43357146819180653</v>
      </c>
      <c r="C35" s="5">
        <f t="shared" si="0"/>
        <v>0.56642853180819341</v>
      </c>
      <c r="D35" s="6">
        <f t="shared" si="1"/>
        <v>1.3064248304217578</v>
      </c>
    </row>
    <row r="36" spans="1:4" x14ac:dyDescent="0.25">
      <c r="A36" s="3">
        <v>1954</v>
      </c>
      <c r="B36" s="4">
        <f>[1]Chile!P42</f>
        <v>0.42522651626408575</v>
      </c>
      <c r="C36" s="5">
        <f t="shared" si="0"/>
        <v>0.57477348373591419</v>
      </c>
      <c r="D36" s="6">
        <f t="shared" si="1"/>
        <v>1.3516877752255523</v>
      </c>
    </row>
    <row r="37" spans="1:4" x14ac:dyDescent="0.25">
      <c r="A37" s="3">
        <v>1955</v>
      </c>
      <c r="B37" s="4">
        <f>[1]Chile!P43</f>
        <v>0.41849944096052066</v>
      </c>
      <c r="C37" s="5">
        <f t="shared" si="0"/>
        <v>0.58150055903947928</v>
      </c>
      <c r="D37" s="6">
        <f t="shared" si="1"/>
        <v>1.3894894523750043</v>
      </c>
    </row>
    <row r="38" spans="1:4" x14ac:dyDescent="0.25">
      <c r="A38" s="3">
        <v>1956</v>
      </c>
      <c r="B38" s="4">
        <f>[1]Chile!P44</f>
        <v>0.51173404390044341</v>
      </c>
      <c r="C38" s="5">
        <f t="shared" si="0"/>
        <v>0.48826595609955659</v>
      </c>
      <c r="D38" s="6">
        <f t="shared" si="1"/>
        <v>0.95414006927893102</v>
      </c>
    </row>
    <row r="39" spans="1:4" x14ac:dyDescent="0.25">
      <c r="A39" s="3">
        <v>1957</v>
      </c>
      <c r="B39" s="4">
        <f>[1]Chile!P45</f>
        <v>0.5364323677274111</v>
      </c>
      <c r="C39" s="5">
        <f t="shared" si="0"/>
        <v>0.4635676322725889</v>
      </c>
      <c r="D39" s="6">
        <f t="shared" si="1"/>
        <v>0.86416789918268222</v>
      </c>
    </row>
    <row r="40" spans="1:4" x14ac:dyDescent="0.25">
      <c r="A40" s="3">
        <v>1958</v>
      </c>
      <c r="B40" s="4">
        <f>[1]Chile!P46</f>
        <v>0.44678003268653316</v>
      </c>
      <c r="C40" s="5">
        <f t="shared" si="0"/>
        <v>0.55321996731346679</v>
      </c>
      <c r="D40" s="6">
        <f t="shared" si="1"/>
        <v>1.2382378952499278</v>
      </c>
    </row>
    <row r="41" spans="1:4" x14ac:dyDescent="0.25">
      <c r="A41" s="3">
        <v>1959</v>
      </c>
      <c r="B41" s="4">
        <f>[1]Chile!P47</f>
        <v>0.57507761927631906</v>
      </c>
      <c r="C41" s="5">
        <f t="shared" si="0"/>
        <v>0.42492238072368094</v>
      </c>
      <c r="D41" s="6">
        <f t="shared" si="1"/>
        <v>0.73889570117231418</v>
      </c>
    </row>
    <row r="42" spans="1:4" x14ac:dyDescent="0.25">
      <c r="A42" s="3">
        <v>1960</v>
      </c>
      <c r="B42" s="4">
        <f>[1]Chile!P48</f>
        <v>0.60931266574517762</v>
      </c>
      <c r="C42" s="5">
        <f t="shared" si="0"/>
        <v>0.39068733425482238</v>
      </c>
      <c r="D42" s="6">
        <f t="shared" si="1"/>
        <v>0.64119352217472669</v>
      </c>
    </row>
    <row r="43" spans="1:4" x14ac:dyDescent="0.25">
      <c r="A43" s="3">
        <v>1961</v>
      </c>
      <c r="B43" s="4">
        <f>[1]Chile!P49</f>
        <v>0.65889626125439449</v>
      </c>
      <c r="C43" s="5">
        <f t="shared" si="0"/>
        <v>0.34110373874560551</v>
      </c>
      <c r="D43" s="6">
        <f t="shared" si="1"/>
        <v>0.51768959516664814</v>
      </c>
    </row>
    <row r="44" spans="1:4" x14ac:dyDescent="0.25">
      <c r="A44" s="3">
        <v>1962</v>
      </c>
      <c r="B44" s="4">
        <f>[1]Chile!P50</f>
        <v>0.59419051937725131</v>
      </c>
      <c r="C44" s="5">
        <f t="shared" si="0"/>
        <v>0.40580948062274869</v>
      </c>
      <c r="D44" s="6">
        <f t="shared" si="1"/>
        <v>0.68296189082259728</v>
      </c>
    </row>
    <row r="45" spans="1:4" x14ac:dyDescent="0.25">
      <c r="A45" s="3">
        <v>1963</v>
      </c>
      <c r="B45" s="4">
        <f>[1]Chile!P51</f>
        <v>0.55768144220705251</v>
      </c>
      <c r="C45" s="5">
        <f t="shared" si="0"/>
        <v>0.44231855779294749</v>
      </c>
      <c r="D45" s="6">
        <f t="shared" si="1"/>
        <v>0.79313838388175406</v>
      </c>
    </row>
    <row r="46" spans="1:4" x14ac:dyDescent="0.25">
      <c r="A46" s="3">
        <v>1964</v>
      </c>
      <c r="B46" s="4">
        <f>[1]Chile!P52</f>
        <v>0.67677427397315781</v>
      </c>
      <c r="C46" s="5">
        <f t="shared" si="0"/>
        <v>0.32322572602684219</v>
      </c>
      <c r="D46" s="6">
        <f t="shared" si="1"/>
        <v>0.47759753651578951</v>
      </c>
    </row>
    <row r="47" spans="1:4" x14ac:dyDescent="0.25">
      <c r="A47" s="3">
        <v>1965</v>
      </c>
      <c r="B47" s="4">
        <f>[1]Chile!P53</f>
        <v>0.63810886917257281</v>
      </c>
      <c r="C47" s="5">
        <f t="shared" si="0"/>
        <v>0.36189113082742719</v>
      </c>
      <c r="D47" s="6">
        <f t="shared" si="1"/>
        <v>0.5671307018451045</v>
      </c>
    </row>
    <row r="48" spans="1:4" x14ac:dyDescent="0.25">
      <c r="A48" s="3">
        <v>1966</v>
      </c>
      <c r="B48" s="4">
        <f>[1]Chile!P54</f>
        <v>0.55349565676106405</v>
      </c>
      <c r="C48" s="5">
        <f t="shared" si="0"/>
        <v>0.44650434323893595</v>
      </c>
      <c r="D48" s="6">
        <f t="shared" si="1"/>
        <v>0.80669891043370068</v>
      </c>
    </row>
    <row r="49" spans="1:4" x14ac:dyDescent="0.25">
      <c r="A49" s="3">
        <v>1967</v>
      </c>
      <c r="B49" s="4">
        <f>[1]Chile!P55</f>
        <v>0.5791916250038267</v>
      </c>
      <c r="C49" s="5">
        <f t="shared" si="0"/>
        <v>0.4208083749961733</v>
      </c>
      <c r="D49" s="6">
        <f t="shared" si="1"/>
        <v>0.72654430214420496</v>
      </c>
    </row>
    <row r="50" spans="1:4" x14ac:dyDescent="0.25">
      <c r="A50" s="3">
        <v>1968</v>
      </c>
      <c r="B50" s="4">
        <f>[1]Chile!P56</f>
        <v>0.53940790971210906</v>
      </c>
      <c r="C50" s="5">
        <f t="shared" si="0"/>
        <v>0.46059209028789094</v>
      </c>
      <c r="D50" s="6">
        <f t="shared" si="1"/>
        <v>0.85388456860730233</v>
      </c>
    </row>
    <row r="51" spans="1:4" x14ac:dyDescent="0.25">
      <c r="A51" s="3">
        <v>1969</v>
      </c>
      <c r="B51" s="4">
        <f>[1]Chile!P57</f>
        <v>0.50053145229905127</v>
      </c>
      <c r="C51" s="5">
        <f t="shared" si="0"/>
        <v>0.49946854770094873</v>
      </c>
      <c r="D51" s="6">
        <f t="shared" si="1"/>
        <v>0.99787644793704688</v>
      </c>
    </row>
    <row r="52" spans="1:4" x14ac:dyDescent="0.25">
      <c r="A52" s="3">
        <v>1970</v>
      </c>
      <c r="B52" s="4">
        <f>[1]Chile!P58</f>
        <v>0.50927676619233542</v>
      </c>
      <c r="C52" s="5">
        <f t="shared" si="0"/>
        <v>0.49072323380766458</v>
      </c>
      <c r="D52" s="6">
        <f t="shared" si="1"/>
        <v>0.96356886153792487</v>
      </c>
    </row>
    <row r="53" spans="1:4" x14ac:dyDescent="0.25">
      <c r="A53" s="3">
        <v>1971</v>
      </c>
      <c r="B53" s="4">
        <f>[1]Chile!P59</f>
        <v>0.56231700542147456</v>
      </c>
      <c r="C53" s="5">
        <f t="shared" si="0"/>
        <v>0.43768299457852544</v>
      </c>
      <c r="D53" s="6">
        <f t="shared" si="1"/>
        <v>0.77835631922685333</v>
      </c>
    </row>
    <row r="54" spans="1:4" x14ac:dyDescent="0.25">
      <c r="A54" s="3">
        <v>1972</v>
      </c>
      <c r="B54" s="4">
        <f>[1]Chile!P60</f>
        <v>0.69034773850784814</v>
      </c>
      <c r="C54" s="5">
        <f t="shared" si="0"/>
        <v>0.30965226149215186</v>
      </c>
      <c r="D54" s="6">
        <f t="shared" si="1"/>
        <v>0.44854534058654211</v>
      </c>
    </row>
    <row r="55" spans="1:4" x14ac:dyDescent="0.25">
      <c r="A55" s="3">
        <v>1973</v>
      </c>
      <c r="B55" s="4">
        <f>[1]Chile!P61</f>
        <v>0.54502867223101148</v>
      </c>
      <c r="C55" s="5">
        <f t="shared" si="0"/>
        <v>0.45497132776898852</v>
      </c>
      <c r="D55" s="6">
        <f t="shared" si="1"/>
        <v>0.83476585902649181</v>
      </c>
    </row>
    <row r="56" spans="1:4" x14ac:dyDescent="0.25">
      <c r="A56" s="3">
        <v>1974</v>
      </c>
      <c r="B56" s="4">
        <f>[1]Chile!P62</f>
        <v>0.3944709808320595</v>
      </c>
      <c r="C56" s="5">
        <f t="shared" si="0"/>
        <v>0.60552901916794055</v>
      </c>
      <c r="D56" s="6">
        <f t="shared" si="1"/>
        <v>1.5350407218566378</v>
      </c>
    </row>
    <row r="57" spans="1:4" x14ac:dyDescent="0.25">
      <c r="A57" s="3">
        <v>1975</v>
      </c>
      <c r="B57" s="4">
        <f>[1]Chile!P63</f>
        <v>0.49271994187133672</v>
      </c>
      <c r="C57" s="5">
        <f t="shared" si="0"/>
        <v>0.50728005812866328</v>
      </c>
      <c r="D57" s="6">
        <f t="shared" si="1"/>
        <v>1.029550491100538</v>
      </c>
    </row>
    <row r="58" spans="1:4" x14ac:dyDescent="0.25">
      <c r="A58" s="3">
        <v>1976</v>
      </c>
      <c r="B58" s="4">
        <f>[1]Chile!P64</f>
        <v>0.48558128290102798</v>
      </c>
      <c r="C58" s="5">
        <f t="shared" si="0"/>
        <v>0.51441871709897202</v>
      </c>
      <c r="D58" s="6">
        <f t="shared" si="1"/>
        <v>1.0593874500797464</v>
      </c>
    </row>
    <row r="59" spans="1:4" x14ac:dyDescent="0.25">
      <c r="A59" s="3">
        <v>1977</v>
      </c>
      <c r="B59" s="4">
        <f>[1]Chile!P65</f>
        <v>0.50441831291226913</v>
      </c>
      <c r="C59" s="5">
        <f t="shared" si="0"/>
        <v>0.49558168708773087</v>
      </c>
      <c r="D59" s="6">
        <f t="shared" si="1"/>
        <v>0.98248155231811507</v>
      </c>
    </row>
    <row r="60" spans="1:4" x14ac:dyDescent="0.25">
      <c r="A60" s="3">
        <v>1978</v>
      </c>
      <c r="B60" s="4">
        <f>[1]Chile!P66</f>
        <v>0.44556606720713365</v>
      </c>
      <c r="C60" s="5">
        <f t="shared" si="0"/>
        <v>0.55443393279286635</v>
      </c>
      <c r="D60" s="6">
        <f t="shared" si="1"/>
        <v>1.2443360785262008</v>
      </c>
    </row>
    <row r="61" spans="1:4" x14ac:dyDescent="0.25">
      <c r="A61" s="3">
        <v>1979</v>
      </c>
      <c r="B61" s="4">
        <f>[1]Chile!P67</f>
        <v>0.42999958432581764</v>
      </c>
      <c r="C61" s="5">
        <f t="shared" si="0"/>
        <v>0.57000041567418236</v>
      </c>
      <c r="D61" s="6">
        <f t="shared" si="1"/>
        <v>1.3255836434536732</v>
      </c>
    </row>
    <row r="62" spans="1:4" x14ac:dyDescent="0.25">
      <c r="A62" s="3">
        <v>1980</v>
      </c>
      <c r="B62" s="4">
        <f>[1]Chile!P68</f>
        <v>0.46401632067622139</v>
      </c>
      <c r="C62" s="5">
        <f t="shared" si="0"/>
        <v>0.53598367932377866</v>
      </c>
      <c r="D62" s="6">
        <f t="shared" si="1"/>
        <v>1.1550966107025666</v>
      </c>
    </row>
    <row r="63" spans="1:4" x14ac:dyDescent="0.25">
      <c r="A63" s="3">
        <v>1981</v>
      </c>
      <c r="B63" s="4">
        <f>[1]Chile!P69</f>
        <v>0.54151622923491183</v>
      </c>
      <c r="C63" s="5">
        <f t="shared" si="0"/>
        <v>0.45848377076508817</v>
      </c>
      <c r="D63" s="6">
        <f t="shared" si="1"/>
        <v>0.84666672209042171</v>
      </c>
    </row>
    <row r="64" spans="1:4" x14ac:dyDescent="0.25">
      <c r="A64" s="3">
        <v>1982</v>
      </c>
      <c r="B64" s="4">
        <f>[1]Chile!P70</f>
        <v>0.60641767497165833</v>
      </c>
      <c r="C64" s="5">
        <f t="shared" si="0"/>
        <v>0.39358232502834167</v>
      </c>
      <c r="D64" s="6">
        <f t="shared" si="1"/>
        <v>0.6490284522903067</v>
      </c>
    </row>
    <row r="65" spans="1:4" x14ac:dyDescent="0.25">
      <c r="A65" s="3">
        <v>1983</v>
      </c>
      <c r="B65" s="4">
        <f>[1]Chile!P71</f>
        <v>0.57024788471405963</v>
      </c>
      <c r="C65" s="5">
        <f t="shared" si="0"/>
        <v>0.42975211528594037</v>
      </c>
      <c r="D65" s="6">
        <f t="shared" si="1"/>
        <v>0.75362333961384476</v>
      </c>
    </row>
    <row r="66" spans="1:4" x14ac:dyDescent="0.25">
      <c r="A66" s="3">
        <v>1984</v>
      </c>
      <c r="B66" s="4">
        <f>[1]Chile!P72</f>
        <v>0.56476104797272131</v>
      </c>
      <c r="C66" s="5">
        <f t="shared" si="0"/>
        <v>0.43523895202727869</v>
      </c>
      <c r="D66" s="6">
        <f t="shared" si="1"/>
        <v>0.77066035908393826</v>
      </c>
    </row>
    <row r="67" spans="1:4" x14ac:dyDescent="0.25">
      <c r="A67" s="3">
        <v>1985</v>
      </c>
      <c r="B67" s="4">
        <f>[1]Chile!P73</f>
        <v>0.48140436278129589</v>
      </c>
      <c r="C67" s="5">
        <f t="shared" ref="C67:C93" si="2">1-B67</f>
        <v>0.51859563721870416</v>
      </c>
      <c r="D67" s="6">
        <f t="shared" ref="D67:D106" si="3">C67/B67</f>
        <v>1.0772557901688657</v>
      </c>
    </row>
    <row r="68" spans="1:4" x14ac:dyDescent="0.25">
      <c r="A68" s="3">
        <v>1986</v>
      </c>
      <c r="B68" s="4">
        <f>[1]Chile!P74</f>
        <v>0.47753279064535087</v>
      </c>
      <c r="C68" s="5">
        <f t="shared" si="2"/>
        <v>0.52246720935464919</v>
      </c>
      <c r="D68" s="6">
        <f t="shared" si="3"/>
        <v>1.0940970328939563</v>
      </c>
    </row>
    <row r="69" spans="1:4" x14ac:dyDescent="0.25">
      <c r="A69" s="3">
        <v>1987</v>
      </c>
      <c r="B69" s="4">
        <f>[1]Chile!P75</f>
        <v>0.44658583481987651</v>
      </c>
      <c r="C69" s="5">
        <f t="shared" si="2"/>
        <v>0.55341416518012343</v>
      </c>
      <c r="D69" s="6">
        <f t="shared" si="3"/>
        <v>1.2392111930807981</v>
      </c>
    </row>
    <row r="70" spans="1:4" x14ac:dyDescent="0.25">
      <c r="A70" s="3">
        <v>1988</v>
      </c>
      <c r="B70" s="4">
        <f>[1]Chile!P76</f>
        <v>0.41563369995406857</v>
      </c>
      <c r="C70" s="5">
        <f t="shared" si="2"/>
        <v>0.58436630004593137</v>
      </c>
      <c r="D70" s="6">
        <f t="shared" si="3"/>
        <v>1.4059646754113282</v>
      </c>
    </row>
    <row r="71" spans="1:4" x14ac:dyDescent="0.25">
      <c r="A71" s="3">
        <v>1989</v>
      </c>
      <c r="B71" s="4">
        <f>[1]Chile!P77</f>
        <v>0.41624399079120317</v>
      </c>
      <c r="C71" s="5">
        <f t="shared" si="2"/>
        <v>0.58375600920879678</v>
      </c>
      <c r="D71" s="6">
        <f t="shared" si="3"/>
        <v>1.4024370852758357</v>
      </c>
    </row>
    <row r="72" spans="1:4" x14ac:dyDescent="0.25">
      <c r="A72" s="3">
        <v>1990</v>
      </c>
      <c r="B72" s="4">
        <f>[1]Chile!P78</f>
        <v>0.4656652389700015</v>
      </c>
      <c r="C72" s="5">
        <f t="shared" si="2"/>
        <v>0.53433476102999844</v>
      </c>
      <c r="D72" s="6">
        <f t="shared" si="3"/>
        <v>1.1474654243290441</v>
      </c>
    </row>
    <row r="73" spans="1:4" x14ac:dyDescent="0.25">
      <c r="A73" s="3">
        <v>1991</v>
      </c>
      <c r="B73" s="4">
        <f>[1]Chile!P79</f>
        <v>0.43418302716237978</v>
      </c>
      <c r="C73" s="5">
        <f t="shared" si="2"/>
        <v>0.56581697283762022</v>
      </c>
      <c r="D73" s="6">
        <f t="shared" si="3"/>
        <v>1.303176166363617</v>
      </c>
    </row>
    <row r="74" spans="1:4" x14ac:dyDescent="0.25">
      <c r="A74" s="3">
        <v>1992</v>
      </c>
      <c r="B74" s="4">
        <f>[1]Chile!P80</f>
        <v>0.41500364282560354</v>
      </c>
      <c r="C74" s="5">
        <f t="shared" si="2"/>
        <v>0.58499635717439646</v>
      </c>
      <c r="D74" s="6">
        <f t="shared" si="3"/>
        <v>1.4096174028530848</v>
      </c>
    </row>
    <row r="75" spans="1:4" x14ac:dyDescent="0.25">
      <c r="A75" s="3">
        <v>1993</v>
      </c>
      <c r="B75" s="4">
        <f>[1]Chile!P81</f>
        <v>0.40610287960314789</v>
      </c>
      <c r="C75" s="5">
        <f t="shared" si="2"/>
        <v>0.59389712039685216</v>
      </c>
      <c r="D75" s="6">
        <f t="shared" si="3"/>
        <v>1.4624302122093316</v>
      </c>
    </row>
    <row r="76" spans="1:4" x14ac:dyDescent="0.25">
      <c r="A76" s="3">
        <v>1994</v>
      </c>
      <c r="B76" s="4">
        <f>[1]Chile!P82</f>
        <v>0.40662804140629971</v>
      </c>
      <c r="C76" s="5">
        <f t="shared" si="2"/>
        <v>0.59337195859370029</v>
      </c>
      <c r="D76" s="6">
        <f t="shared" si="3"/>
        <v>1.4592499733701529</v>
      </c>
    </row>
    <row r="77" spans="1:4" x14ac:dyDescent="0.25">
      <c r="A77" s="3">
        <v>1995</v>
      </c>
      <c r="B77" s="4">
        <f>[1]Chile!P83</f>
        <v>0.38666700959116751</v>
      </c>
      <c r="C77" s="5">
        <f t="shared" si="2"/>
        <v>0.61333299040883249</v>
      </c>
      <c r="D77" s="6">
        <f t="shared" si="3"/>
        <v>1.5862046029148555</v>
      </c>
    </row>
    <row r="78" spans="1:4" x14ac:dyDescent="0.25">
      <c r="A78" s="3">
        <v>1996</v>
      </c>
      <c r="B78" s="4">
        <f>[1]Chile!P84</f>
        <v>0.40248806579430851</v>
      </c>
      <c r="C78" s="5">
        <f t="shared" si="2"/>
        <v>0.59751193420569149</v>
      </c>
      <c r="D78" s="6">
        <f t="shared" si="3"/>
        <v>1.4845457169680403</v>
      </c>
    </row>
    <row r="79" spans="1:4" x14ac:dyDescent="0.25">
      <c r="A79" s="3">
        <v>1997</v>
      </c>
      <c r="B79" s="4">
        <f>[1]Chile!P85</f>
        <v>0.39725743874928116</v>
      </c>
      <c r="C79" s="5">
        <f t="shared" si="2"/>
        <v>0.6027425612507189</v>
      </c>
      <c r="D79" s="6">
        <f t="shared" si="3"/>
        <v>1.5172593448429406</v>
      </c>
    </row>
    <row r="80" spans="1:4" x14ac:dyDescent="0.25">
      <c r="A80" s="3">
        <v>1998</v>
      </c>
      <c r="B80" s="4">
        <f>[1]Chile!P86</f>
        <v>0.40509583309046837</v>
      </c>
      <c r="C80" s="5">
        <f t="shared" si="2"/>
        <v>0.59490416690953163</v>
      </c>
      <c r="D80" s="6">
        <f t="shared" si="3"/>
        <v>1.4685516816379451</v>
      </c>
    </row>
    <row r="81" spans="1:4" x14ac:dyDescent="0.25">
      <c r="A81" s="3">
        <v>1999</v>
      </c>
      <c r="B81" s="4">
        <f>[1]Chile!P87</f>
        <v>0.42510299621684927</v>
      </c>
      <c r="C81" s="5">
        <f t="shared" si="2"/>
        <v>0.57489700378315067</v>
      </c>
      <c r="D81" s="6">
        <f t="shared" si="3"/>
        <v>1.3523710933570789</v>
      </c>
    </row>
    <row r="82" spans="1:4" x14ac:dyDescent="0.25">
      <c r="A82" s="3">
        <v>2000</v>
      </c>
      <c r="B82" s="4">
        <f>[1]Chile!P88</f>
        <v>0.42616509108608891</v>
      </c>
      <c r="C82" s="5">
        <f t="shared" si="2"/>
        <v>0.57383490891391109</v>
      </c>
      <c r="D82" s="6">
        <f t="shared" si="3"/>
        <v>1.3465084797337181</v>
      </c>
    </row>
    <row r="83" spans="1:4" x14ac:dyDescent="0.25">
      <c r="A83" s="3">
        <v>2001</v>
      </c>
      <c r="B83" s="4">
        <f>[1]Chile!P89</f>
        <v>0.41835460821123621</v>
      </c>
      <c r="C83" s="5">
        <f t="shared" si="2"/>
        <v>0.58164539178876384</v>
      </c>
      <c r="D83" s="6">
        <f t="shared" si="3"/>
        <v>1.3903166843929651</v>
      </c>
    </row>
    <row r="84" spans="1:4" x14ac:dyDescent="0.25">
      <c r="A84" s="3">
        <v>2002</v>
      </c>
      <c r="B84" s="4">
        <f>[1]Chile!P90</f>
        <v>0.42689901838608074</v>
      </c>
      <c r="C84" s="5">
        <f t="shared" si="2"/>
        <v>0.5731009816139192</v>
      </c>
      <c r="D84" s="6">
        <f t="shared" si="3"/>
        <v>1.3424743485720918</v>
      </c>
    </row>
    <row r="85" spans="1:4" x14ac:dyDescent="0.25">
      <c r="A85" s="3">
        <v>2003</v>
      </c>
      <c r="B85" s="4">
        <f>[1]Chile!P91</f>
        <v>0.42595513728628881</v>
      </c>
      <c r="C85" s="5">
        <f t="shared" si="2"/>
        <v>0.57404486271371113</v>
      </c>
      <c r="D85" s="6">
        <f t="shared" si="3"/>
        <v>1.3476650765873723</v>
      </c>
    </row>
    <row r="86" spans="1:4" x14ac:dyDescent="0.25">
      <c r="A86" s="3">
        <f>A85+1</f>
        <v>2004</v>
      </c>
      <c r="B86" s="4">
        <f>[1]Chile!P92</f>
        <v>0.40182359499390202</v>
      </c>
      <c r="C86" s="5">
        <f t="shared" si="2"/>
        <v>0.59817640500609803</v>
      </c>
      <c r="D86" s="6">
        <f t="shared" si="3"/>
        <v>1.4886542563912302</v>
      </c>
    </row>
    <row r="87" spans="1:4" x14ac:dyDescent="0.25">
      <c r="A87" s="3">
        <f t="shared" ref="A87:A106" si="4">A86+1</f>
        <v>2005</v>
      </c>
      <c r="B87" s="4">
        <f>[1]Chile!P93</f>
        <v>0.38874700015954283</v>
      </c>
      <c r="C87" s="5">
        <f t="shared" si="2"/>
        <v>0.61125299984045722</v>
      </c>
      <c r="D87" s="6">
        <f t="shared" si="3"/>
        <v>1.5723671168898983</v>
      </c>
    </row>
    <row r="88" spans="1:4" x14ac:dyDescent="0.25">
      <c r="A88" s="3">
        <f t="shared" si="4"/>
        <v>2006</v>
      </c>
      <c r="B88" s="4">
        <f>[1]Chile!P94</f>
        <v>0.36517520660249952</v>
      </c>
      <c r="C88" s="5">
        <f t="shared" si="2"/>
        <v>0.63482479339750042</v>
      </c>
      <c r="D88" s="6">
        <f t="shared" si="3"/>
        <v>1.7384115403226699</v>
      </c>
    </row>
    <row r="89" spans="1:4" x14ac:dyDescent="0.25">
      <c r="A89" s="3">
        <f t="shared" si="4"/>
        <v>2007</v>
      </c>
      <c r="B89" s="4">
        <f>[1]Chile!P95</f>
        <v>0.35591823434574471</v>
      </c>
      <c r="C89" s="5">
        <f t="shared" si="2"/>
        <v>0.64408176565425523</v>
      </c>
      <c r="D89" s="6">
        <f t="shared" si="3"/>
        <v>1.8096340774397746</v>
      </c>
    </row>
    <row r="90" spans="1:4" x14ac:dyDescent="0.25">
      <c r="A90" s="3">
        <f t="shared" si="4"/>
        <v>2008</v>
      </c>
      <c r="B90" s="4">
        <f>[1]Chile!P96</f>
        <v>0.37680386067090438</v>
      </c>
      <c r="C90" s="5">
        <f t="shared" si="2"/>
        <v>0.62319613932909568</v>
      </c>
      <c r="D90" s="6">
        <f t="shared" si="3"/>
        <v>1.6539006214519312</v>
      </c>
    </row>
    <row r="91" spans="1:4" x14ac:dyDescent="0.25">
      <c r="A91" s="3">
        <f t="shared" si="4"/>
        <v>2009</v>
      </c>
      <c r="B91" s="4">
        <f>[1]Chile!P97</f>
        <v>0.39185997670869921</v>
      </c>
      <c r="C91" s="5">
        <f t="shared" si="2"/>
        <v>0.60814002329130079</v>
      </c>
      <c r="D91" s="6">
        <f t="shared" si="3"/>
        <v>1.5519319640632241</v>
      </c>
    </row>
    <row r="92" spans="1:4" x14ac:dyDescent="0.25">
      <c r="A92" s="3">
        <f t="shared" si="4"/>
        <v>2010</v>
      </c>
      <c r="B92" s="4">
        <f>[1]Chile!P98</f>
        <v>0.37497555589606663</v>
      </c>
      <c r="C92" s="5">
        <f t="shared" si="2"/>
        <v>0.62502444410393343</v>
      </c>
      <c r="D92" s="6">
        <f t="shared" si="3"/>
        <v>1.6668405027371271</v>
      </c>
    </row>
    <row r="93" spans="1:4" x14ac:dyDescent="0.25">
      <c r="A93" s="3">
        <f t="shared" si="4"/>
        <v>2011</v>
      </c>
      <c r="B93" s="4">
        <f>[1]Chile!P99</f>
        <v>0.37380980481865861</v>
      </c>
      <c r="C93" s="5">
        <f t="shared" si="2"/>
        <v>0.62619019518134134</v>
      </c>
      <c r="D93" s="6">
        <f t="shared" si="3"/>
        <v>1.6751572246349093</v>
      </c>
    </row>
    <row r="94" spans="1:4" x14ac:dyDescent="0.25">
      <c r="A94" s="3">
        <f t="shared" si="4"/>
        <v>2012</v>
      </c>
      <c r="B94" s="5">
        <f>1-C94</f>
        <v>0.35305430146693795</v>
      </c>
      <c r="C94" s="5">
        <f>$C$93*[2]ProfitShare!D11</f>
        <v>0.64694569853306205</v>
      </c>
      <c r="D94" s="6">
        <f t="shared" si="3"/>
        <v>1.8324254819867867</v>
      </c>
    </row>
    <row r="95" spans="1:4" x14ac:dyDescent="0.25">
      <c r="A95" s="3">
        <f t="shared" si="4"/>
        <v>2013</v>
      </c>
      <c r="B95" s="5">
        <f t="shared" ref="B95:B106" si="5">1-C95</f>
        <v>0.33749975947798416</v>
      </c>
      <c r="C95" s="5">
        <f>$C$93*[2]ProfitShare!D12</f>
        <v>0.66250024052201584</v>
      </c>
      <c r="D95" s="6">
        <f t="shared" si="3"/>
        <v>1.9629650745432077</v>
      </c>
    </row>
    <row r="96" spans="1:4" x14ac:dyDescent="0.25">
      <c r="A96" s="3">
        <f t="shared" si="4"/>
        <v>2014</v>
      </c>
      <c r="B96" s="5">
        <f t="shared" si="5"/>
        <v>0.34023622452197921</v>
      </c>
      <c r="C96" s="5">
        <f>$C$93*[2]ProfitShare!D13</f>
        <v>0.65976377547802079</v>
      </c>
      <c r="D96" s="6">
        <f t="shared" si="3"/>
        <v>1.9391344246338478</v>
      </c>
    </row>
    <row r="97" spans="1:4" x14ac:dyDescent="0.25">
      <c r="A97" s="3">
        <f t="shared" si="4"/>
        <v>2015</v>
      </c>
      <c r="B97" s="5">
        <f t="shared" si="5"/>
        <v>0.33483171428769876</v>
      </c>
      <c r="C97" s="5">
        <f>$C$93*[2]ProfitShare!D14</f>
        <v>0.66516828571230124</v>
      </c>
      <c r="D97" s="6">
        <f t="shared" si="3"/>
        <v>1.9865749190674515</v>
      </c>
    </row>
    <row r="98" spans="1:4" x14ac:dyDescent="0.25">
      <c r="A98" s="3">
        <f t="shared" si="4"/>
        <v>2016</v>
      </c>
      <c r="B98" s="5">
        <f t="shared" si="5"/>
        <v>0.32936029513786924</v>
      </c>
      <c r="C98" s="5">
        <f>$C$93*[2]ProfitShare!D15</f>
        <v>0.67063970486213076</v>
      </c>
      <c r="D98" s="6">
        <f t="shared" si="3"/>
        <v>2.0361886807922702</v>
      </c>
    </row>
    <row r="99" spans="1:4" x14ac:dyDescent="0.25">
      <c r="A99" s="3">
        <f t="shared" si="4"/>
        <v>2017</v>
      </c>
      <c r="B99" s="5">
        <f t="shared" si="5"/>
        <v>0.32983439287067107</v>
      </c>
      <c r="C99" s="5">
        <f>$C$93*[2]ProfitShare!D16</f>
        <v>0.67016560712932893</v>
      </c>
      <c r="D99" s="6">
        <f t="shared" si="3"/>
        <v>2.0318245204711038</v>
      </c>
    </row>
    <row r="100" spans="1:4" x14ac:dyDescent="0.25">
      <c r="A100" s="3">
        <f t="shared" si="4"/>
        <v>2018</v>
      </c>
      <c r="B100" s="5">
        <f t="shared" si="5"/>
        <v>0.31796797326268644</v>
      </c>
      <c r="C100" s="5">
        <f>$C$93*[2]ProfitShare!D17</f>
        <v>0.68203202673731356</v>
      </c>
      <c r="D100" s="6">
        <f t="shared" si="3"/>
        <v>2.1449708275300381</v>
      </c>
    </row>
    <row r="101" spans="1:4" x14ac:dyDescent="0.25">
      <c r="A101" s="3">
        <f t="shared" si="4"/>
        <v>2019</v>
      </c>
      <c r="B101" s="5">
        <f t="shared" si="5"/>
        <v>0.30491389912844113</v>
      </c>
      <c r="C101" s="5">
        <f>$C$93*[2]ProfitShare!D18</f>
        <v>0.69508610087155887</v>
      </c>
      <c r="D101" s="6">
        <f t="shared" si="3"/>
        <v>2.2796143529644826</v>
      </c>
    </row>
    <row r="102" spans="1:4" x14ac:dyDescent="0.25">
      <c r="A102" s="3">
        <f t="shared" si="4"/>
        <v>2020</v>
      </c>
      <c r="B102" s="5">
        <f t="shared" si="5"/>
        <v>0.33881870829853311</v>
      </c>
      <c r="C102" s="5">
        <f>$C$93*[2]ProfitShare!D19</f>
        <v>0.66118129170146689</v>
      </c>
      <c r="D102" s="6">
        <f t="shared" si="3"/>
        <v>1.9514308847399895</v>
      </c>
    </row>
    <row r="103" spans="1:4" x14ac:dyDescent="0.25">
      <c r="A103" s="3">
        <f t="shared" si="4"/>
        <v>2021</v>
      </c>
      <c r="B103" s="5">
        <f t="shared" si="5"/>
        <v>0.3678456619978876</v>
      </c>
      <c r="C103" s="5">
        <f>$C$93*[2]ProfitShare!D20</f>
        <v>0.6321543380021124</v>
      </c>
      <c r="D103" s="6">
        <f t="shared" si="3"/>
        <v>1.7185314475877729</v>
      </c>
    </row>
    <row r="104" spans="1:4" x14ac:dyDescent="0.25">
      <c r="A104" s="3">
        <f t="shared" si="4"/>
        <v>2022</v>
      </c>
      <c r="B104" s="5">
        <f t="shared" si="5"/>
        <v>0.34493381229653597</v>
      </c>
      <c r="C104" s="5">
        <f>$C$93*[2]ProfitShare!D21</f>
        <v>0.65506618770346403</v>
      </c>
      <c r="D104" s="6">
        <f t="shared" si="3"/>
        <v>1.89910691370642</v>
      </c>
    </row>
    <row r="105" spans="1:4" x14ac:dyDescent="0.25">
      <c r="A105" s="3">
        <f t="shared" si="4"/>
        <v>2023</v>
      </c>
      <c r="B105" s="5">
        <f t="shared" si="5"/>
        <v>0.32695402044357935</v>
      </c>
      <c r="C105" s="5">
        <f>$C$93*[2]ProfitShare!D22</f>
        <v>0.67304597955642065</v>
      </c>
      <c r="D105" s="6">
        <f t="shared" si="3"/>
        <v>2.0585340368144043</v>
      </c>
    </row>
    <row r="106" spans="1:4" x14ac:dyDescent="0.25">
      <c r="A106" s="3">
        <f t="shared" si="4"/>
        <v>2024</v>
      </c>
      <c r="B106" s="5">
        <f t="shared" si="5"/>
        <v>0.35876123872429855</v>
      </c>
      <c r="C106" s="5">
        <f>$C$93*[2]ProfitShare!D23</f>
        <v>0.64123876127570145</v>
      </c>
      <c r="D106" s="6">
        <f t="shared" si="3"/>
        <v>1.787369124813625</v>
      </c>
    </row>
    <row r="107" spans="1:4" x14ac:dyDescent="0.25">
      <c r="A107" s="2"/>
      <c r="D10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674C-2833-4BBC-975E-696E1D56E5EF}">
  <dimension ref="A1:F106"/>
  <sheetViews>
    <sheetView tabSelected="1" workbookViewId="0"/>
  </sheetViews>
  <sheetFormatPr baseColWidth="10" defaultRowHeight="15" x14ac:dyDescent="0.25"/>
  <cols>
    <col min="1" max="1" width="8" bestFit="1" customWidth="1"/>
    <col min="2" max="4" width="6.5703125" bestFit="1" customWidth="1"/>
  </cols>
  <sheetData>
    <row r="1" spans="1:4" x14ac:dyDescent="0.25">
      <c r="A1" s="8" t="s">
        <v>7</v>
      </c>
      <c r="B1" s="8" t="s">
        <v>5</v>
      </c>
      <c r="C1" s="8" t="s">
        <v>6</v>
      </c>
      <c r="D1" s="8" t="s">
        <v>3</v>
      </c>
    </row>
    <row r="2" spans="1:4" x14ac:dyDescent="0.25">
      <c r="A2" s="7">
        <v>1920</v>
      </c>
      <c r="B2" s="1">
        <v>0.51692582055175695</v>
      </c>
      <c r="C2" s="1">
        <v>0.48307417944824305</v>
      </c>
      <c r="D2" s="1">
        <v>0.93451354187070534</v>
      </c>
    </row>
    <row r="3" spans="1:4" x14ac:dyDescent="0.25">
      <c r="A3" s="7">
        <v>1921</v>
      </c>
      <c r="B3" s="1">
        <v>0.6558033235305708</v>
      </c>
      <c r="C3" s="1">
        <v>0.3441966764694292</v>
      </c>
      <c r="D3" s="1">
        <v>0.52484741098355259</v>
      </c>
    </row>
    <row r="4" spans="1:4" x14ac:dyDescent="0.25">
      <c r="A4" s="7">
        <v>1922</v>
      </c>
      <c r="B4" s="1">
        <v>0.68983696083095469</v>
      </c>
      <c r="C4" s="1">
        <v>0.31016303916904531</v>
      </c>
      <c r="D4" s="1">
        <v>0.44961789057436585</v>
      </c>
    </row>
    <row r="5" spans="1:4" x14ac:dyDescent="0.25">
      <c r="A5" s="7">
        <v>1923</v>
      </c>
      <c r="B5" s="1">
        <v>0.60101732230796789</v>
      </c>
      <c r="C5" s="1">
        <v>0.39898267769203211</v>
      </c>
      <c r="D5" s="1">
        <v>0.66384555466703998</v>
      </c>
    </row>
    <row r="6" spans="1:4" x14ac:dyDescent="0.25">
      <c r="A6" s="7">
        <v>1924</v>
      </c>
      <c r="B6" s="1">
        <v>0.52169919091568506</v>
      </c>
      <c r="C6" s="1">
        <v>0.47830080908431494</v>
      </c>
      <c r="D6" s="1">
        <v>0.91681340016035406</v>
      </c>
    </row>
    <row r="7" spans="1:4" x14ac:dyDescent="0.25">
      <c r="A7" s="7">
        <v>1925</v>
      </c>
      <c r="B7" s="1">
        <v>0.47172645133057045</v>
      </c>
      <c r="C7" s="1">
        <v>0.52827354866942955</v>
      </c>
      <c r="D7" s="1">
        <v>1.1198726447909801</v>
      </c>
    </row>
    <row r="8" spans="1:4" x14ac:dyDescent="0.25">
      <c r="A8" s="7">
        <v>1926</v>
      </c>
      <c r="B8" s="1">
        <v>0.56179758512744427</v>
      </c>
      <c r="C8" s="1">
        <v>0.43820241487255573</v>
      </c>
      <c r="D8" s="1">
        <v>0.78000053128236413</v>
      </c>
    </row>
    <row r="9" spans="1:4" x14ac:dyDescent="0.25">
      <c r="A9" s="7">
        <v>1927</v>
      </c>
      <c r="B9" s="1">
        <v>0.58759107514602149</v>
      </c>
      <c r="C9" s="1">
        <v>0.41240892485397851</v>
      </c>
      <c r="D9" s="1">
        <v>0.70186383404732844</v>
      </c>
    </row>
    <row r="10" spans="1:4" x14ac:dyDescent="0.25">
      <c r="A10" s="7">
        <v>1928</v>
      </c>
      <c r="B10" s="1">
        <v>0.43600868489859101</v>
      </c>
      <c r="C10" s="1">
        <v>0.56399131510140899</v>
      </c>
      <c r="D10" s="1">
        <v>1.2935322956527455</v>
      </c>
    </row>
    <row r="11" spans="1:4" x14ac:dyDescent="0.25">
      <c r="A11" s="7">
        <v>1929</v>
      </c>
      <c r="B11" s="1">
        <v>0.56146190563982357</v>
      </c>
      <c r="C11" s="1">
        <v>0.43853809436017643</v>
      </c>
      <c r="D11" s="1">
        <v>0.78106473467764981</v>
      </c>
    </row>
    <row r="12" spans="1:4" x14ac:dyDescent="0.25">
      <c r="A12" s="7">
        <v>1930</v>
      </c>
      <c r="B12" s="1">
        <v>0.66864905524223517</v>
      </c>
      <c r="C12" s="1">
        <v>0.33135094475776483</v>
      </c>
      <c r="D12" s="1">
        <v>0.49555284967496815</v>
      </c>
    </row>
    <row r="13" spans="1:4" x14ac:dyDescent="0.25">
      <c r="A13" s="7">
        <v>1931</v>
      </c>
      <c r="B13" s="1">
        <v>0.58114368470107824</v>
      </c>
      <c r="C13" s="1">
        <v>0.41885631529892176</v>
      </c>
      <c r="D13" s="1">
        <v>0.72074484559591845</v>
      </c>
    </row>
    <row r="14" spans="1:4" x14ac:dyDescent="0.25">
      <c r="A14" s="7">
        <v>1932</v>
      </c>
      <c r="B14" s="1">
        <v>0.46092164869838348</v>
      </c>
      <c r="C14" s="1">
        <v>0.53907835130161652</v>
      </c>
      <c r="D14" s="1">
        <v>1.1695661352074547</v>
      </c>
    </row>
    <row r="15" spans="1:4" x14ac:dyDescent="0.25">
      <c r="A15" s="7">
        <v>1933</v>
      </c>
      <c r="B15" s="1">
        <v>0.51899682703026973</v>
      </c>
      <c r="C15" s="1">
        <v>0.48100317296973027</v>
      </c>
      <c r="D15" s="1">
        <v>0.9267940532932708</v>
      </c>
    </row>
    <row r="16" spans="1:4" x14ac:dyDescent="0.25">
      <c r="A16" s="7">
        <v>1934</v>
      </c>
      <c r="B16" s="1">
        <v>0.53678866062938446</v>
      </c>
      <c r="C16" s="1">
        <v>0.46321133937061554</v>
      </c>
      <c r="D16" s="1">
        <v>0.86293055972438104</v>
      </c>
    </row>
    <row r="17" spans="1:6" x14ac:dyDescent="0.25">
      <c r="A17" s="7">
        <v>1935</v>
      </c>
      <c r="B17" s="1">
        <v>0.57185747888368421</v>
      </c>
      <c r="C17" s="1">
        <v>0.42814252111631579</v>
      </c>
      <c r="D17" s="1">
        <v>0.74868745609847998</v>
      </c>
    </row>
    <row r="18" spans="1:6" x14ac:dyDescent="0.25">
      <c r="A18" s="7">
        <v>1936</v>
      </c>
      <c r="B18" s="1">
        <v>0.52853862171213761</v>
      </c>
      <c r="C18" s="1">
        <v>0.47146137828786239</v>
      </c>
      <c r="D18" s="1">
        <v>0.89200932329338523</v>
      </c>
    </row>
    <row r="19" spans="1:6" x14ac:dyDescent="0.25">
      <c r="A19" s="7">
        <v>1937</v>
      </c>
      <c r="B19" s="1">
        <v>0.53283113314857933</v>
      </c>
      <c r="C19" s="1">
        <v>0.46716886685142067</v>
      </c>
      <c r="D19" s="1">
        <v>0.876767211575738</v>
      </c>
    </row>
    <row r="20" spans="1:6" x14ac:dyDescent="0.25">
      <c r="A20" s="7">
        <v>1938</v>
      </c>
      <c r="B20" s="1">
        <v>0.55316640741209988</v>
      </c>
      <c r="C20" s="1">
        <v>0.44683359258790012</v>
      </c>
      <c r="D20" s="1">
        <v>0.80777427298656701</v>
      </c>
    </row>
    <row r="21" spans="1:6" x14ac:dyDescent="0.25">
      <c r="A21" s="7">
        <v>1939</v>
      </c>
      <c r="B21" s="1">
        <v>0.57853535531294564</v>
      </c>
      <c r="C21" s="1">
        <v>0.42146464468705436</v>
      </c>
      <c r="D21" s="1">
        <v>0.72850283187804932</v>
      </c>
      <c r="F21" s="9"/>
    </row>
    <row r="22" spans="1:6" x14ac:dyDescent="0.25">
      <c r="A22" s="7">
        <v>1940</v>
      </c>
      <c r="B22" s="1">
        <v>0.60747078008747069</v>
      </c>
      <c r="C22" s="1">
        <v>0.39252921991252931</v>
      </c>
      <c r="D22" s="1">
        <v>0.64616971347331043</v>
      </c>
    </row>
    <row r="23" spans="1:6" x14ac:dyDescent="0.25">
      <c r="A23" s="7">
        <v>1941</v>
      </c>
      <c r="B23" s="1">
        <v>0.61626009742784948</v>
      </c>
      <c r="C23" s="1">
        <v>0.38373990257215052</v>
      </c>
      <c r="D23" s="1">
        <v>0.62269146448684032</v>
      </c>
    </row>
    <row r="24" spans="1:6" x14ac:dyDescent="0.25">
      <c r="A24" s="7">
        <v>1942</v>
      </c>
      <c r="B24" s="1">
        <v>0.56756484368608739</v>
      </c>
      <c r="C24" s="1">
        <v>0.43243515631391261</v>
      </c>
      <c r="D24" s="1">
        <v>0.76191321771347553</v>
      </c>
    </row>
    <row r="25" spans="1:6" x14ac:dyDescent="0.25">
      <c r="A25" s="7">
        <v>1943</v>
      </c>
      <c r="B25" s="1">
        <v>0.60309919765734965</v>
      </c>
      <c r="C25" s="1">
        <v>0.39690080234265035</v>
      </c>
      <c r="D25" s="1">
        <v>0.6581020234885957</v>
      </c>
    </row>
    <row r="26" spans="1:6" x14ac:dyDescent="0.25">
      <c r="A26" s="7">
        <v>1944</v>
      </c>
      <c r="B26" s="1">
        <v>0.62543672105873571</v>
      </c>
      <c r="C26" s="1">
        <v>0.37456327894126429</v>
      </c>
      <c r="D26" s="1">
        <v>0.59888277475490359</v>
      </c>
    </row>
    <row r="27" spans="1:6" x14ac:dyDescent="0.25">
      <c r="A27" s="7">
        <v>1945</v>
      </c>
      <c r="B27" s="1">
        <v>0.60445556333954531</v>
      </c>
      <c r="C27" s="1">
        <v>0.39554443666045469</v>
      </c>
      <c r="D27" s="1">
        <v>0.65438133197934123</v>
      </c>
    </row>
    <row r="28" spans="1:6" x14ac:dyDescent="0.25">
      <c r="A28" s="7">
        <v>1946</v>
      </c>
      <c r="B28" s="1">
        <v>0.57194355018251375</v>
      </c>
      <c r="C28" s="1">
        <v>0.42805644981748625</v>
      </c>
      <c r="D28" s="1">
        <v>0.74842429760924578</v>
      </c>
    </row>
    <row r="29" spans="1:6" x14ac:dyDescent="0.25">
      <c r="A29" s="7">
        <v>1947</v>
      </c>
      <c r="B29" s="1">
        <v>0.6818860563830722</v>
      </c>
      <c r="C29" s="1">
        <v>0.3181139436169278</v>
      </c>
      <c r="D29" s="1">
        <v>0.46652067546929965</v>
      </c>
    </row>
    <row r="30" spans="1:6" x14ac:dyDescent="0.25">
      <c r="A30" s="7">
        <v>1948</v>
      </c>
      <c r="B30" s="1">
        <v>0.59472898262467588</v>
      </c>
      <c r="C30" s="1">
        <v>0.40527101737532412</v>
      </c>
      <c r="D30" s="1">
        <v>0.68143814950260173</v>
      </c>
    </row>
    <row r="31" spans="1:6" x14ac:dyDescent="0.25">
      <c r="A31" s="7">
        <v>1949</v>
      </c>
      <c r="B31" s="1">
        <v>0.59044158514074674</v>
      </c>
      <c r="C31" s="1">
        <v>0.40955841485925326</v>
      </c>
      <c r="D31" s="1">
        <v>0.69364764468888929</v>
      </c>
    </row>
    <row r="32" spans="1:6" x14ac:dyDescent="0.25">
      <c r="A32" s="7">
        <v>1950</v>
      </c>
      <c r="B32" s="1">
        <v>0.56406149659561211</v>
      </c>
      <c r="C32" s="1">
        <v>0.43593850340438789</v>
      </c>
      <c r="D32" s="1">
        <v>0.77285633930961539</v>
      </c>
    </row>
    <row r="33" spans="1:4" x14ac:dyDescent="0.25">
      <c r="A33" s="7">
        <v>1951</v>
      </c>
      <c r="B33" s="1">
        <v>0.52674488313604162</v>
      </c>
      <c r="C33" s="1">
        <v>0.47325511686395838</v>
      </c>
      <c r="D33" s="1">
        <v>0.8984522337386075</v>
      </c>
    </row>
    <row r="34" spans="1:4" x14ac:dyDescent="0.25">
      <c r="A34" s="7">
        <v>1952</v>
      </c>
      <c r="B34" s="1">
        <v>0.63755932295642515</v>
      </c>
      <c r="C34" s="1">
        <v>0.36244067704357485</v>
      </c>
      <c r="D34" s="1">
        <v>0.56848149496567923</v>
      </c>
    </row>
    <row r="35" spans="1:4" x14ac:dyDescent="0.25">
      <c r="A35" s="7">
        <v>1953</v>
      </c>
      <c r="B35" s="1">
        <v>0.43357146819180653</v>
      </c>
      <c r="C35" s="1">
        <v>0.56642853180819341</v>
      </c>
      <c r="D35" s="1">
        <v>1.3064248304217578</v>
      </c>
    </row>
    <row r="36" spans="1:4" x14ac:dyDescent="0.25">
      <c r="A36" s="7">
        <v>1954</v>
      </c>
      <c r="B36" s="1">
        <v>0.42522651626408575</v>
      </c>
      <c r="C36" s="1">
        <v>0.57477348373591419</v>
      </c>
      <c r="D36" s="1">
        <v>1.3516877752255523</v>
      </c>
    </row>
    <row r="37" spans="1:4" x14ac:dyDescent="0.25">
      <c r="A37" s="7">
        <v>1955</v>
      </c>
      <c r="B37" s="1">
        <v>0.41849944096052066</v>
      </c>
      <c r="C37" s="1">
        <v>0.58150055903947928</v>
      </c>
      <c r="D37" s="1">
        <v>1.3894894523750043</v>
      </c>
    </row>
    <row r="38" spans="1:4" x14ac:dyDescent="0.25">
      <c r="A38" s="7">
        <v>1956</v>
      </c>
      <c r="B38" s="1">
        <v>0.51173404390044341</v>
      </c>
      <c r="C38" s="1">
        <v>0.48826595609955659</v>
      </c>
      <c r="D38" s="1">
        <v>0.95414006927893102</v>
      </c>
    </row>
    <row r="39" spans="1:4" x14ac:dyDescent="0.25">
      <c r="A39" s="7">
        <v>1957</v>
      </c>
      <c r="B39" s="1">
        <v>0.5364323677274111</v>
      </c>
      <c r="C39" s="1">
        <v>0.4635676322725889</v>
      </c>
      <c r="D39" s="1">
        <v>0.86416789918268222</v>
      </c>
    </row>
    <row r="40" spans="1:4" x14ac:dyDescent="0.25">
      <c r="A40" s="7">
        <v>1958</v>
      </c>
      <c r="B40" s="1">
        <v>0.44678003268653316</v>
      </c>
      <c r="C40" s="1">
        <v>0.55321996731346679</v>
      </c>
      <c r="D40" s="1">
        <v>1.2382378952499278</v>
      </c>
    </row>
    <row r="41" spans="1:4" x14ac:dyDescent="0.25">
      <c r="A41" s="7">
        <v>1959</v>
      </c>
      <c r="B41" s="1">
        <v>0.57507761927631906</v>
      </c>
      <c r="C41" s="1">
        <v>0.42492238072368094</v>
      </c>
      <c r="D41" s="1">
        <v>0.73889570117231418</v>
      </c>
    </row>
    <row r="42" spans="1:4" x14ac:dyDescent="0.25">
      <c r="A42" s="7">
        <v>1960</v>
      </c>
      <c r="B42" s="1">
        <v>0.60931266574517762</v>
      </c>
      <c r="C42" s="1">
        <v>0.39068733425482238</v>
      </c>
      <c r="D42" s="1">
        <v>0.64119352217472669</v>
      </c>
    </row>
    <row r="43" spans="1:4" x14ac:dyDescent="0.25">
      <c r="A43" s="7">
        <v>1961</v>
      </c>
      <c r="B43" s="1">
        <v>0.65889626125439449</v>
      </c>
      <c r="C43" s="1">
        <v>0.34110373874560551</v>
      </c>
      <c r="D43" s="1">
        <v>0.51768959516664814</v>
      </c>
    </row>
    <row r="44" spans="1:4" x14ac:dyDescent="0.25">
      <c r="A44" s="7">
        <v>1962</v>
      </c>
      <c r="B44" s="1">
        <v>0.59419051937725131</v>
      </c>
      <c r="C44" s="1">
        <v>0.40580948062274869</v>
      </c>
      <c r="D44" s="1">
        <v>0.68296189082259728</v>
      </c>
    </row>
    <row r="45" spans="1:4" x14ac:dyDescent="0.25">
      <c r="A45" s="7">
        <v>1963</v>
      </c>
      <c r="B45" s="1">
        <v>0.55768144220705251</v>
      </c>
      <c r="C45" s="1">
        <v>0.44231855779294749</v>
      </c>
      <c r="D45" s="1">
        <v>0.79313838388175406</v>
      </c>
    </row>
    <row r="46" spans="1:4" x14ac:dyDescent="0.25">
      <c r="A46" s="7">
        <v>1964</v>
      </c>
      <c r="B46" s="1">
        <v>0.67677427397315781</v>
      </c>
      <c r="C46" s="1">
        <v>0.32322572602684219</v>
      </c>
      <c r="D46" s="1">
        <v>0.47759753651578951</v>
      </c>
    </row>
    <row r="47" spans="1:4" x14ac:dyDescent="0.25">
      <c r="A47" s="7">
        <v>1965</v>
      </c>
      <c r="B47" s="1">
        <v>0.63810886917257281</v>
      </c>
      <c r="C47" s="1">
        <v>0.36189113082742719</v>
      </c>
      <c r="D47" s="1">
        <v>0.5671307018451045</v>
      </c>
    </row>
    <row r="48" spans="1:4" x14ac:dyDescent="0.25">
      <c r="A48" s="7">
        <v>1966</v>
      </c>
      <c r="B48" s="1">
        <v>0.55349565676106405</v>
      </c>
      <c r="C48" s="1">
        <v>0.44650434323893595</v>
      </c>
      <c r="D48" s="1">
        <v>0.80669891043370068</v>
      </c>
    </row>
    <row r="49" spans="1:4" x14ac:dyDescent="0.25">
      <c r="A49" s="7">
        <v>1967</v>
      </c>
      <c r="B49" s="1">
        <v>0.5791916250038267</v>
      </c>
      <c r="C49" s="1">
        <v>0.4208083749961733</v>
      </c>
      <c r="D49" s="1">
        <v>0.72654430214420496</v>
      </c>
    </row>
    <row r="50" spans="1:4" x14ac:dyDescent="0.25">
      <c r="A50" s="7">
        <v>1968</v>
      </c>
      <c r="B50" s="1">
        <v>0.53940790971210906</v>
      </c>
      <c r="C50" s="1">
        <v>0.46059209028789094</v>
      </c>
      <c r="D50" s="1">
        <v>0.85388456860730233</v>
      </c>
    </row>
    <row r="51" spans="1:4" x14ac:dyDescent="0.25">
      <c r="A51" s="7">
        <v>1969</v>
      </c>
      <c r="B51" s="1">
        <v>0.50053145229905127</v>
      </c>
      <c r="C51" s="1">
        <v>0.49946854770094873</v>
      </c>
      <c r="D51" s="1">
        <v>0.99787644793704688</v>
      </c>
    </row>
    <row r="52" spans="1:4" x14ac:dyDescent="0.25">
      <c r="A52" s="7">
        <v>1970</v>
      </c>
      <c r="B52" s="1">
        <v>0.50927676619233542</v>
      </c>
      <c r="C52" s="1">
        <v>0.49072323380766458</v>
      </c>
      <c r="D52" s="1">
        <v>0.96356886153792487</v>
      </c>
    </row>
    <row r="53" spans="1:4" x14ac:dyDescent="0.25">
      <c r="A53" s="7">
        <v>1971</v>
      </c>
      <c r="B53" s="1">
        <v>0.56231700542147456</v>
      </c>
      <c r="C53" s="1">
        <v>0.43768299457852544</v>
      </c>
      <c r="D53" s="1">
        <v>0.77835631922685333</v>
      </c>
    </row>
    <row r="54" spans="1:4" x14ac:dyDescent="0.25">
      <c r="A54" s="7">
        <v>1972</v>
      </c>
      <c r="B54" s="1">
        <v>0.69034773850784814</v>
      </c>
      <c r="C54" s="1">
        <v>0.30965226149215186</v>
      </c>
      <c r="D54" s="1">
        <v>0.44854534058654211</v>
      </c>
    </row>
    <row r="55" spans="1:4" x14ac:dyDescent="0.25">
      <c r="A55" s="7">
        <v>1973</v>
      </c>
      <c r="B55" s="1">
        <v>0.54502867223101148</v>
      </c>
      <c r="C55" s="1">
        <v>0.45497132776898852</v>
      </c>
      <c r="D55" s="1">
        <v>0.83476585902649181</v>
      </c>
    </row>
    <row r="56" spans="1:4" x14ac:dyDescent="0.25">
      <c r="A56" s="7">
        <v>1974</v>
      </c>
      <c r="B56" s="1">
        <v>0.3944709808320595</v>
      </c>
      <c r="C56" s="1">
        <v>0.60552901916794055</v>
      </c>
      <c r="D56" s="1">
        <v>1.5350407218566378</v>
      </c>
    </row>
    <row r="57" spans="1:4" x14ac:dyDescent="0.25">
      <c r="A57" s="7">
        <v>1975</v>
      </c>
      <c r="B57" s="1">
        <v>0.49271994187133672</v>
      </c>
      <c r="C57" s="1">
        <v>0.50728005812866328</v>
      </c>
      <c r="D57" s="1">
        <v>1.029550491100538</v>
      </c>
    </row>
    <row r="58" spans="1:4" x14ac:dyDescent="0.25">
      <c r="A58" s="7">
        <v>1976</v>
      </c>
      <c r="B58" s="1">
        <v>0.48558128290102798</v>
      </c>
      <c r="C58" s="1">
        <v>0.51441871709897202</v>
      </c>
      <c r="D58" s="1">
        <v>1.0593874500797464</v>
      </c>
    </row>
    <row r="59" spans="1:4" x14ac:dyDescent="0.25">
      <c r="A59" s="7">
        <v>1977</v>
      </c>
      <c r="B59" s="1">
        <v>0.50441831291226913</v>
      </c>
      <c r="C59" s="1">
        <v>0.49558168708773087</v>
      </c>
      <c r="D59" s="1">
        <v>0.98248155231811507</v>
      </c>
    </row>
    <row r="60" spans="1:4" x14ac:dyDescent="0.25">
      <c r="A60" s="7">
        <v>1978</v>
      </c>
      <c r="B60" s="1">
        <v>0.44556606720713365</v>
      </c>
      <c r="C60" s="1">
        <v>0.55443393279286635</v>
      </c>
      <c r="D60" s="1">
        <v>1.2443360785262008</v>
      </c>
    </row>
    <row r="61" spans="1:4" x14ac:dyDescent="0.25">
      <c r="A61" s="7">
        <v>1979</v>
      </c>
      <c r="B61" s="1">
        <v>0.42999958432581764</v>
      </c>
      <c r="C61" s="1">
        <v>0.57000041567418236</v>
      </c>
      <c r="D61" s="1">
        <v>1.3255836434536732</v>
      </c>
    </row>
    <row r="62" spans="1:4" x14ac:dyDescent="0.25">
      <c r="A62" s="7">
        <v>1980</v>
      </c>
      <c r="B62" s="1">
        <v>0.46401632067622139</v>
      </c>
      <c r="C62" s="1">
        <v>0.53598367932377866</v>
      </c>
      <c r="D62" s="1">
        <v>1.1550966107025666</v>
      </c>
    </row>
    <row r="63" spans="1:4" x14ac:dyDescent="0.25">
      <c r="A63" s="7">
        <v>1981</v>
      </c>
      <c r="B63" s="1">
        <v>0.54151622923491183</v>
      </c>
      <c r="C63" s="1">
        <v>0.45848377076508817</v>
      </c>
      <c r="D63" s="1">
        <v>0.84666672209042171</v>
      </c>
    </row>
    <row r="64" spans="1:4" x14ac:dyDescent="0.25">
      <c r="A64" s="7">
        <v>1982</v>
      </c>
      <c r="B64" s="1">
        <v>0.60641767497165833</v>
      </c>
      <c r="C64" s="1">
        <v>0.39358232502834167</v>
      </c>
      <c r="D64" s="1">
        <v>0.6490284522903067</v>
      </c>
    </row>
    <row r="65" spans="1:4" x14ac:dyDescent="0.25">
      <c r="A65" s="7">
        <v>1983</v>
      </c>
      <c r="B65" s="1">
        <v>0.57024788471405963</v>
      </c>
      <c r="C65" s="1">
        <v>0.42975211528594037</v>
      </c>
      <c r="D65" s="1">
        <v>0.75362333961384476</v>
      </c>
    </row>
    <row r="66" spans="1:4" x14ac:dyDescent="0.25">
      <c r="A66" s="7">
        <v>1984</v>
      </c>
      <c r="B66" s="1">
        <v>0.56476104797272131</v>
      </c>
      <c r="C66" s="1">
        <v>0.43523895202727869</v>
      </c>
      <c r="D66" s="1">
        <v>0.77066035908393826</v>
      </c>
    </row>
    <row r="67" spans="1:4" x14ac:dyDescent="0.25">
      <c r="A67" s="7">
        <v>1985</v>
      </c>
      <c r="B67" s="1">
        <v>0.48140436278129589</v>
      </c>
      <c r="C67" s="1">
        <v>0.51859563721870416</v>
      </c>
      <c r="D67" s="1">
        <v>1.0772557901688657</v>
      </c>
    </row>
    <row r="68" spans="1:4" x14ac:dyDescent="0.25">
      <c r="A68" s="7">
        <v>1986</v>
      </c>
      <c r="B68" s="1">
        <v>0.47753279064535087</v>
      </c>
      <c r="C68" s="1">
        <v>0.52246720935464919</v>
      </c>
      <c r="D68" s="1">
        <v>1.0940970328939563</v>
      </c>
    </row>
    <row r="69" spans="1:4" x14ac:dyDescent="0.25">
      <c r="A69" s="7">
        <v>1987</v>
      </c>
      <c r="B69" s="1">
        <v>0.44658583481987651</v>
      </c>
      <c r="C69" s="1">
        <v>0.55341416518012343</v>
      </c>
      <c r="D69" s="1">
        <v>1.2392111930807981</v>
      </c>
    </row>
    <row r="70" spans="1:4" x14ac:dyDescent="0.25">
      <c r="A70" s="7">
        <v>1988</v>
      </c>
      <c r="B70" s="1">
        <v>0.41563369995406857</v>
      </c>
      <c r="C70" s="1">
        <v>0.58436630004593137</v>
      </c>
      <c r="D70" s="1">
        <v>1.4059646754113282</v>
      </c>
    </row>
    <row r="71" spans="1:4" x14ac:dyDescent="0.25">
      <c r="A71" s="7">
        <v>1989</v>
      </c>
      <c r="B71" s="1">
        <v>0.41624399079120317</v>
      </c>
      <c r="C71" s="1">
        <v>0.58375600920879678</v>
      </c>
      <c r="D71" s="1">
        <v>1.4024370852758357</v>
      </c>
    </row>
    <row r="72" spans="1:4" x14ac:dyDescent="0.25">
      <c r="A72" s="7">
        <v>1990</v>
      </c>
      <c r="B72" s="1">
        <v>0.4656652389700015</v>
      </c>
      <c r="C72" s="1">
        <v>0.53433476102999844</v>
      </c>
      <c r="D72" s="1">
        <v>1.1474654243290441</v>
      </c>
    </row>
    <row r="73" spans="1:4" x14ac:dyDescent="0.25">
      <c r="A73" s="7">
        <v>1991</v>
      </c>
      <c r="B73" s="1">
        <v>0.43418302716237978</v>
      </c>
      <c r="C73" s="1">
        <v>0.56581697283762022</v>
      </c>
      <c r="D73" s="1">
        <v>1.303176166363617</v>
      </c>
    </row>
    <row r="74" spans="1:4" x14ac:dyDescent="0.25">
      <c r="A74" s="7">
        <v>1992</v>
      </c>
      <c r="B74" s="1">
        <v>0.41500364282560354</v>
      </c>
      <c r="C74" s="1">
        <v>0.58499635717439646</v>
      </c>
      <c r="D74" s="1">
        <v>1.4096174028530848</v>
      </c>
    </row>
    <row r="75" spans="1:4" x14ac:dyDescent="0.25">
      <c r="A75" s="7">
        <v>1993</v>
      </c>
      <c r="B75" s="1">
        <v>0.40610287960314789</v>
      </c>
      <c r="C75" s="1">
        <v>0.59389712039685216</v>
      </c>
      <c r="D75" s="1">
        <v>1.4624302122093316</v>
      </c>
    </row>
    <row r="76" spans="1:4" x14ac:dyDescent="0.25">
      <c r="A76" s="7">
        <v>1994</v>
      </c>
      <c r="B76" s="1">
        <v>0.40662804140629971</v>
      </c>
      <c r="C76" s="1">
        <v>0.59337195859370029</v>
      </c>
      <c r="D76" s="1">
        <v>1.4592499733701529</v>
      </c>
    </row>
    <row r="77" spans="1:4" x14ac:dyDescent="0.25">
      <c r="A77" s="7">
        <v>1995</v>
      </c>
      <c r="B77" s="1">
        <v>0.38666700959116751</v>
      </c>
      <c r="C77" s="1">
        <v>0.61333299040883249</v>
      </c>
      <c r="D77" s="1">
        <v>1.5862046029148555</v>
      </c>
    </row>
    <row r="78" spans="1:4" x14ac:dyDescent="0.25">
      <c r="A78" s="7">
        <v>1996</v>
      </c>
      <c r="B78" s="1">
        <v>0.40248806579430851</v>
      </c>
      <c r="C78" s="1">
        <v>0.59751193420569149</v>
      </c>
      <c r="D78" s="1">
        <v>1.4845457169680403</v>
      </c>
    </row>
    <row r="79" spans="1:4" x14ac:dyDescent="0.25">
      <c r="A79" s="7">
        <v>1997</v>
      </c>
      <c r="B79" s="1">
        <v>0.39725743874928116</v>
      </c>
      <c r="C79" s="1">
        <v>0.6027425612507189</v>
      </c>
      <c r="D79" s="1">
        <v>1.5172593448429406</v>
      </c>
    </row>
    <row r="80" spans="1:4" x14ac:dyDescent="0.25">
      <c r="A80" s="7">
        <v>1998</v>
      </c>
      <c r="B80" s="1">
        <v>0.40509583309046837</v>
      </c>
      <c r="C80" s="1">
        <v>0.59490416690953163</v>
      </c>
      <c r="D80" s="1">
        <v>1.4685516816379451</v>
      </c>
    </row>
    <row r="81" spans="1:4" x14ac:dyDescent="0.25">
      <c r="A81" s="7">
        <v>1999</v>
      </c>
      <c r="B81" s="1">
        <v>0.42510299621684927</v>
      </c>
      <c r="C81" s="1">
        <v>0.57489700378315067</v>
      </c>
      <c r="D81" s="1">
        <v>1.3523710933570789</v>
      </c>
    </row>
    <row r="82" spans="1:4" x14ac:dyDescent="0.25">
      <c r="A82" s="7">
        <v>2000</v>
      </c>
      <c r="B82" s="1">
        <v>0.42616509108608891</v>
      </c>
      <c r="C82" s="1">
        <v>0.57383490891391109</v>
      </c>
      <c r="D82" s="1">
        <v>1.3465084797337181</v>
      </c>
    </row>
    <row r="83" spans="1:4" x14ac:dyDescent="0.25">
      <c r="A83" s="7">
        <v>2001</v>
      </c>
      <c r="B83" s="1">
        <v>0.41835460821123621</v>
      </c>
      <c r="C83" s="1">
        <v>0.58164539178876384</v>
      </c>
      <c r="D83" s="1">
        <v>1.3903166843929651</v>
      </c>
    </row>
    <row r="84" spans="1:4" x14ac:dyDescent="0.25">
      <c r="A84" s="7">
        <v>2002</v>
      </c>
      <c r="B84" s="1">
        <v>0.42689901838608074</v>
      </c>
      <c r="C84" s="1">
        <v>0.5731009816139192</v>
      </c>
      <c r="D84" s="1">
        <v>1.3424743485720918</v>
      </c>
    </row>
    <row r="85" spans="1:4" x14ac:dyDescent="0.25">
      <c r="A85" s="7">
        <v>2003</v>
      </c>
      <c r="B85" s="1">
        <v>0.42595513728628881</v>
      </c>
      <c r="C85" s="1">
        <v>0.57404486271371113</v>
      </c>
      <c r="D85" s="1">
        <v>1.3476650765873723</v>
      </c>
    </row>
    <row r="86" spans="1:4" x14ac:dyDescent="0.25">
      <c r="A86" s="7">
        <v>2004</v>
      </c>
      <c r="B86" s="1">
        <v>0.40182359499390202</v>
      </c>
      <c r="C86" s="1">
        <v>0.59817640500609803</v>
      </c>
      <c r="D86" s="1">
        <v>1.4886542563912302</v>
      </c>
    </row>
    <row r="87" spans="1:4" x14ac:dyDescent="0.25">
      <c r="A87" s="7">
        <v>2005</v>
      </c>
      <c r="B87" s="1">
        <v>0.38874700015954283</v>
      </c>
      <c r="C87" s="1">
        <v>0.61125299984045722</v>
      </c>
      <c r="D87" s="1">
        <v>1.5723671168898983</v>
      </c>
    </row>
    <row r="88" spans="1:4" x14ac:dyDescent="0.25">
      <c r="A88" s="7">
        <v>2006</v>
      </c>
      <c r="B88" s="1">
        <v>0.36517520660249952</v>
      </c>
      <c r="C88" s="1">
        <v>0.63482479339750042</v>
      </c>
      <c r="D88" s="1">
        <v>1.7384115403226699</v>
      </c>
    </row>
    <row r="89" spans="1:4" x14ac:dyDescent="0.25">
      <c r="A89" s="7">
        <v>2007</v>
      </c>
      <c r="B89" s="1">
        <v>0.35591823434574471</v>
      </c>
      <c r="C89" s="1">
        <v>0.64408176565425523</v>
      </c>
      <c r="D89" s="1">
        <v>1.8096340774397746</v>
      </c>
    </row>
    <row r="90" spans="1:4" x14ac:dyDescent="0.25">
      <c r="A90" s="7">
        <v>2008</v>
      </c>
      <c r="B90" s="1">
        <v>0.37680386067090438</v>
      </c>
      <c r="C90" s="1">
        <v>0.62319613932909568</v>
      </c>
      <c r="D90" s="1">
        <v>1.6539006214519312</v>
      </c>
    </row>
    <row r="91" spans="1:4" x14ac:dyDescent="0.25">
      <c r="A91" s="7">
        <v>2009</v>
      </c>
      <c r="B91" s="1">
        <v>0.39185997670869921</v>
      </c>
      <c r="C91" s="1">
        <v>0.60814002329130079</v>
      </c>
      <c r="D91" s="1">
        <v>1.5519319640632241</v>
      </c>
    </row>
    <row r="92" spans="1:4" x14ac:dyDescent="0.25">
      <c r="A92" s="7">
        <v>2010</v>
      </c>
      <c r="B92" s="1">
        <v>0.37497555589606663</v>
      </c>
      <c r="C92" s="1">
        <v>0.62502444410393343</v>
      </c>
      <c r="D92" s="1">
        <v>1.6668405027371271</v>
      </c>
    </row>
    <row r="93" spans="1:4" x14ac:dyDescent="0.25">
      <c r="A93" s="7">
        <v>2011</v>
      </c>
      <c r="B93" s="1">
        <v>0.37380980481865861</v>
      </c>
      <c r="C93" s="1">
        <v>0.62619019518134134</v>
      </c>
      <c r="D93" s="1">
        <v>1.6751572246349093</v>
      </c>
    </row>
    <row r="94" spans="1:4" x14ac:dyDescent="0.25">
      <c r="A94" s="7">
        <v>2012</v>
      </c>
      <c r="B94" s="1">
        <v>0.35305430146693795</v>
      </c>
      <c r="C94" s="1">
        <v>0.64694569853306205</v>
      </c>
      <c r="D94" s="1">
        <v>1.8324254819867867</v>
      </c>
    </row>
    <row r="95" spans="1:4" x14ac:dyDescent="0.25">
      <c r="A95" s="7">
        <v>2013</v>
      </c>
      <c r="B95" s="1">
        <v>0.33749975947798416</v>
      </c>
      <c r="C95" s="1">
        <v>0.66250024052201584</v>
      </c>
      <c r="D95" s="1">
        <v>1.9629650745432077</v>
      </c>
    </row>
    <row r="96" spans="1:4" x14ac:dyDescent="0.25">
      <c r="A96" s="7">
        <v>2014</v>
      </c>
      <c r="B96" s="1">
        <v>0.34023622452197921</v>
      </c>
      <c r="C96" s="1">
        <v>0.65976377547802079</v>
      </c>
      <c r="D96" s="1">
        <v>1.9391344246338478</v>
      </c>
    </row>
    <row r="97" spans="1:4" x14ac:dyDescent="0.25">
      <c r="A97" s="7">
        <v>2015</v>
      </c>
      <c r="B97" s="1">
        <v>0.33483171428769876</v>
      </c>
      <c r="C97" s="1">
        <v>0.66516828571230124</v>
      </c>
      <c r="D97" s="1">
        <v>1.9865749190674515</v>
      </c>
    </row>
    <row r="98" spans="1:4" x14ac:dyDescent="0.25">
      <c r="A98" s="7">
        <v>2016</v>
      </c>
      <c r="B98" s="1">
        <v>0.32936029513786924</v>
      </c>
      <c r="C98" s="1">
        <v>0.67063970486213076</v>
      </c>
      <c r="D98" s="1">
        <v>2.0361886807922702</v>
      </c>
    </row>
    <row r="99" spans="1:4" x14ac:dyDescent="0.25">
      <c r="A99" s="7">
        <v>2017</v>
      </c>
      <c r="B99" s="1">
        <v>0.32983439287067107</v>
      </c>
      <c r="C99" s="1">
        <v>0.67016560712932893</v>
      </c>
      <c r="D99" s="1">
        <v>2.0318245204711038</v>
      </c>
    </row>
    <row r="100" spans="1:4" x14ac:dyDescent="0.25">
      <c r="A100" s="7">
        <v>2018</v>
      </c>
      <c r="B100" s="1">
        <v>0.31796797326268644</v>
      </c>
      <c r="C100" s="1">
        <v>0.68203202673731356</v>
      </c>
      <c r="D100" s="1">
        <v>2.1449708275300381</v>
      </c>
    </row>
    <row r="101" spans="1:4" x14ac:dyDescent="0.25">
      <c r="A101" s="7">
        <v>2019</v>
      </c>
      <c r="B101" s="1">
        <v>0.30491389912844113</v>
      </c>
      <c r="C101" s="1">
        <v>0.69508610087155887</v>
      </c>
      <c r="D101" s="1">
        <v>2.2796143529644826</v>
      </c>
    </row>
    <row r="102" spans="1:4" x14ac:dyDescent="0.25">
      <c r="A102" s="7">
        <v>2020</v>
      </c>
      <c r="B102" s="1">
        <v>0.33881870829853311</v>
      </c>
      <c r="C102" s="1">
        <v>0.66118129170146689</v>
      </c>
      <c r="D102" s="1">
        <v>1.9514308847399895</v>
      </c>
    </row>
    <row r="103" spans="1:4" x14ac:dyDescent="0.25">
      <c r="A103" s="7">
        <v>2021</v>
      </c>
      <c r="B103" s="1">
        <v>0.3678456619978876</v>
      </c>
      <c r="C103" s="1">
        <v>0.6321543380021124</v>
      </c>
      <c r="D103" s="1">
        <v>1.7185314475877729</v>
      </c>
    </row>
    <row r="104" spans="1:4" x14ac:dyDescent="0.25">
      <c r="A104" s="7">
        <v>2022</v>
      </c>
      <c r="B104" s="1">
        <v>0.34493381229653597</v>
      </c>
      <c r="C104" s="1">
        <v>0.65506618770346403</v>
      </c>
      <c r="D104" s="1">
        <v>1.89910691370642</v>
      </c>
    </row>
    <row r="105" spans="1:4" x14ac:dyDescent="0.25">
      <c r="A105" s="7">
        <v>2023</v>
      </c>
      <c r="B105" s="1">
        <v>0.32695402044357935</v>
      </c>
      <c r="C105" s="1">
        <v>0.67304597955642065</v>
      </c>
      <c r="D105" s="1">
        <v>2.0585340368144043</v>
      </c>
    </row>
    <row r="106" spans="1:4" x14ac:dyDescent="0.25">
      <c r="A106" s="7">
        <v>2024</v>
      </c>
      <c r="B106" s="1">
        <v>0.35876123872429855</v>
      </c>
      <c r="C106" s="1">
        <v>0.64123876127570145</v>
      </c>
      <c r="D106" s="1">
        <v>1.787369124813625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links_reproducible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Polanco</dc:creator>
  <cp:lastModifiedBy>Diego Polanco</cp:lastModifiedBy>
  <dcterms:created xsi:type="dcterms:W3CDTF">2026-04-02T21:11:27Z</dcterms:created>
  <dcterms:modified xsi:type="dcterms:W3CDTF">2026-04-02T22:33:09Z</dcterms:modified>
</cp:coreProperties>
</file>