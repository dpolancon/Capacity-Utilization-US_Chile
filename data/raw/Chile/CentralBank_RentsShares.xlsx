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GitHub\Capacity-Utilization-US_Chile\data\raw\Chile\"/>
    </mc:Choice>
  </mc:AlternateContent>
  <xr:revisionPtr revIDLastSave="0" documentId="13_ncr:1_{20B1FFF4-B17B-4F9B-A259-92DA32A9A44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anasta" sheetId="1" r:id="rId1"/>
    <sheet name="ProfitSha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2" l="1"/>
  <c r="D22" i="2"/>
  <c r="D21" i="2"/>
  <c r="D20" i="2"/>
  <c r="D19" i="2"/>
  <c r="D18" i="2"/>
  <c r="D17" i="2"/>
  <c r="D16" i="2"/>
  <c r="D15" i="2"/>
  <c r="D14" i="2"/>
  <c r="D13" i="2"/>
  <c r="D12" i="2"/>
  <c r="D11" i="2"/>
  <c r="D9" i="2"/>
  <c r="D8" i="2"/>
  <c r="D7" i="2"/>
  <c r="D6" i="2"/>
  <c r="D5" i="2"/>
  <c r="D4" i="2"/>
  <c r="D3" i="2"/>
  <c r="D2" i="2"/>
  <c r="D10" i="2"/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" i="2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X9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X6" i="1"/>
  <c r="W6" i="1"/>
  <c r="V6" i="1"/>
  <c r="U6" i="1"/>
  <c r="U7" i="1" s="1"/>
  <c r="T6" i="1"/>
  <c r="T7" i="1" s="1"/>
  <c r="S6" i="1"/>
  <c r="S7" i="1" s="1"/>
  <c r="R6" i="1"/>
  <c r="R7" i="1" s="1"/>
  <c r="Q6" i="1"/>
  <c r="Q7" i="1" s="1"/>
  <c r="P6" i="1"/>
  <c r="P7" i="1" s="1"/>
  <c r="O6" i="1"/>
  <c r="O7" i="1" s="1"/>
  <c r="N6" i="1"/>
  <c r="N7" i="1" s="1"/>
  <c r="M6" i="1"/>
  <c r="M7" i="1" s="1"/>
  <c r="L6" i="1"/>
  <c r="K6" i="1"/>
  <c r="J6" i="1"/>
  <c r="I6" i="1"/>
  <c r="I7" i="1" s="1"/>
  <c r="H6" i="1"/>
  <c r="H7" i="1" s="1"/>
  <c r="G6" i="1"/>
  <c r="G7" i="1" s="1"/>
  <c r="F6" i="1"/>
  <c r="F7" i="1" s="1"/>
  <c r="E6" i="1"/>
  <c r="E7" i="1" s="1"/>
  <c r="D6" i="1"/>
  <c r="D7" i="1" s="1"/>
  <c r="X7" i="1"/>
  <c r="W7" i="1"/>
  <c r="V7" i="1"/>
  <c r="L7" i="1"/>
  <c r="K7" i="1"/>
  <c r="J7" i="1"/>
  <c r="C7" i="1"/>
  <c r="C6" i="1"/>
</calcChain>
</file>

<file path=xl/sharedStrings.xml><?xml version="1.0" encoding="utf-8"?>
<sst xmlns="http://schemas.openxmlformats.org/spreadsheetml/2006/main" count="22" uniqueCount="17">
  <si>
    <t>Descripción series</t>
  </si>
  <si>
    <t>Cálculo</t>
  </si>
  <si>
    <t>Rentas de la producción (excedente bruto), operaciones no financieras de las sociedades financieras, referencia 2018 , nominal, flujo trimestral, miles de millones de pesos, no desestacionalizado</t>
  </si>
  <si>
    <t>Serie original</t>
  </si>
  <si>
    <t>Rentas de la producción (excedente bruto), operaciones no financieras de las empresas no financieras, referencia 2018 , nominal, flujo trimestral, miles de millones de pesos, no desestacionalizado</t>
  </si>
  <si>
    <t>Rentas de la producción (remuneración, ingreso mixto y excedente bruto), operaciones no financieras del sector hogares  e ipsfl , referencia 2018 , nominal, flujo trimestral, miles de millones de pesos, no desestacionalizado</t>
  </si>
  <si>
    <t>Rentas de la producción (consumo de capital fijo)|Operaciones no financieras del sector gobierno general, economía nacional, cuentas no finaniceras|Cuentas Nacionales|Trimestral|Miles de millones de pesos|Flujo|Banco Central de Chile|Original|Referencia 2</t>
  </si>
  <si>
    <t>Rentas de la producción</t>
  </si>
  <si>
    <t>Elaboración Propia</t>
  </si>
  <si>
    <t>Rentas de la producción No Financieras del Sector Privado</t>
  </si>
  <si>
    <t>Elaboración propia</t>
  </si>
  <si>
    <t>Participación del Excedente Bruto, Sector Privado No Financiero</t>
  </si>
  <si>
    <t>Participación de los hogares, Sector Privado No Financiero</t>
  </si>
  <si>
    <t>Periodo</t>
  </si>
  <si>
    <t>Profit Share</t>
  </si>
  <si>
    <t>Wage + Mixed Income Share</t>
  </si>
  <si>
    <t>Indice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</si>
</sst>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yyyy"/>
    <numFmt numFmtId="169" formatCode="#,##0.0"/>
    <numFmt numFmtId="179" formatCode="0.000"/>
  </numFmts>
  <fonts count="4" x14ac:knownFonts="1">
    <font>
      <sz val="11"/>
      <color rgb="FF000000"/>
      <name val="Calibri"/>
    </font>
    <font>
      <b/>
      <sz val="12"/>
      <color rgb="FF000000"/>
      <name val="Calibri"/>
    </font>
    <font>
      <sz val="11"/>
      <color rgb="FF000000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EEAF6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169" fontId="0" fillId="0" borderId="1" xfId="0" applyNumberFormat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168" fontId="1" fillId="2" borderId="1" xfId="0" applyNumberFormat="1" applyFont="1" applyFill="1" applyBorder="1" applyAlignment="1"/>
    <xf numFmtId="0" fontId="0" fillId="0" borderId="2" xfId="0" applyFill="1" applyBorder="1" applyAlignment="1">
      <alignment horizontal="left" vertical="center" wrapText="1"/>
    </xf>
    <xf numFmtId="169" fontId="0" fillId="0" borderId="2" xfId="0" applyNumberFormat="1" applyBorder="1"/>
    <xf numFmtId="0" fontId="0" fillId="0" borderId="2" xfId="0" applyBorder="1"/>
    <xf numFmtId="0" fontId="0" fillId="0" borderId="0" xfId="0" applyAlignment="1">
      <alignment wrapText="1"/>
    </xf>
    <xf numFmtId="10" fontId="0" fillId="0" borderId="0" xfId="1" applyNumberFormat="1" applyFont="1"/>
    <xf numFmtId="179" fontId="0" fillId="0" borderId="0" xfId="1" applyNumberFormat="1" applyFont="1"/>
    <xf numFmtId="0" fontId="3" fillId="0" borderId="0" xfId="0" applyFont="1"/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"/>
  <sheetViews>
    <sheetView workbookViewId="0">
      <selection activeCell="X8" sqref="C8:X8"/>
    </sheetView>
  </sheetViews>
  <sheetFormatPr baseColWidth="10" defaultRowHeight="15" x14ac:dyDescent="0.25"/>
  <cols>
    <col min="1" max="1" width="75.85546875" customWidth="1"/>
    <col min="2" max="2" width="26" customWidth="1"/>
    <col min="3" max="24" width="15" customWidth="1"/>
  </cols>
  <sheetData>
    <row r="1" spans="1:24" ht="15.75" x14ac:dyDescent="0.25">
      <c r="A1" s="2" t="s">
        <v>0</v>
      </c>
      <c r="B1" s="2" t="s">
        <v>1</v>
      </c>
      <c r="C1" s="4">
        <v>37622</v>
      </c>
      <c r="D1" s="4">
        <v>37987</v>
      </c>
      <c r="E1" s="4">
        <v>38353</v>
      </c>
      <c r="F1" s="4">
        <v>38718</v>
      </c>
      <c r="G1" s="4">
        <v>39083</v>
      </c>
      <c r="H1" s="4">
        <v>39448</v>
      </c>
      <c r="I1" s="4">
        <v>39814</v>
      </c>
      <c r="J1" s="4">
        <v>40179</v>
      </c>
      <c r="K1" s="4">
        <v>40544</v>
      </c>
      <c r="L1" s="4">
        <v>40909</v>
      </c>
      <c r="M1" s="4">
        <v>41275</v>
      </c>
      <c r="N1" s="4">
        <v>41640</v>
      </c>
      <c r="O1" s="4">
        <v>42005</v>
      </c>
      <c r="P1" s="4">
        <v>42370</v>
      </c>
      <c r="Q1" s="4">
        <v>42736</v>
      </c>
      <c r="R1" s="4">
        <v>43101</v>
      </c>
      <c r="S1" s="4">
        <v>43466</v>
      </c>
      <c r="T1" s="4">
        <v>43831</v>
      </c>
      <c r="U1" s="4">
        <v>44197</v>
      </c>
      <c r="V1" s="4">
        <v>44562</v>
      </c>
      <c r="W1" s="4">
        <v>44927</v>
      </c>
      <c r="X1" s="4">
        <v>45292</v>
      </c>
    </row>
    <row r="2" spans="1:24" ht="45" x14ac:dyDescent="0.25">
      <c r="A2" s="3" t="s">
        <v>2</v>
      </c>
      <c r="B2" s="3" t="s">
        <v>3</v>
      </c>
      <c r="C2" s="1">
        <v>360.81939999999997</v>
      </c>
      <c r="D2" s="1">
        <v>477.69049999999999</v>
      </c>
      <c r="E2" s="1">
        <v>491.48599999999999</v>
      </c>
      <c r="F2" s="1">
        <v>533.41340000000002</v>
      </c>
      <c r="G2" s="1">
        <v>989.19330000000002</v>
      </c>
      <c r="H2" s="1">
        <v>1408.8142</v>
      </c>
      <c r="I2" s="1">
        <v>1634.4975999999999</v>
      </c>
      <c r="J2" s="1">
        <v>2013.5092</v>
      </c>
      <c r="K2" s="1">
        <v>2295.9481000000001</v>
      </c>
      <c r="L2" s="1">
        <v>2351.8416999999999</v>
      </c>
      <c r="M2" s="1">
        <v>2540.5895999999998</v>
      </c>
      <c r="N2" s="1">
        <v>2254.0128</v>
      </c>
      <c r="O2" s="1">
        <v>2191.2111</v>
      </c>
      <c r="P2" s="1">
        <v>2301.1635000000001</v>
      </c>
      <c r="Q2" s="1">
        <v>2445.2251000000001</v>
      </c>
      <c r="R2" s="1">
        <v>2919.0070000000001</v>
      </c>
      <c r="S2" s="1">
        <v>2426.3040999999998</v>
      </c>
      <c r="T2" s="1">
        <v>3698.6967</v>
      </c>
      <c r="U2" s="1">
        <v>2255.0394000000001</v>
      </c>
      <c r="V2" s="1">
        <v>1827.9366</v>
      </c>
      <c r="W2" s="1">
        <v>2089.5891999999999</v>
      </c>
      <c r="X2" s="1">
        <v>3239.4076</v>
      </c>
    </row>
    <row r="3" spans="1:24" ht="45" x14ac:dyDescent="0.25">
      <c r="A3" s="3" t="s">
        <v>4</v>
      </c>
      <c r="B3" s="3" t="s">
        <v>3</v>
      </c>
      <c r="C3" s="1">
        <v>15182.4395</v>
      </c>
      <c r="D3" s="1">
        <v>19307.041300000001</v>
      </c>
      <c r="E3" s="1">
        <v>24192.2</v>
      </c>
      <c r="F3" s="1">
        <v>33573.703200000004</v>
      </c>
      <c r="G3" s="1">
        <v>37451.5092</v>
      </c>
      <c r="H3" s="1">
        <v>34803.975400000003</v>
      </c>
      <c r="I3" s="1">
        <v>35438.6898</v>
      </c>
      <c r="J3" s="1">
        <v>42899.789299999997</v>
      </c>
      <c r="K3" s="1">
        <v>45456.792500000003</v>
      </c>
      <c r="L3" s="1">
        <v>46304.912300000004</v>
      </c>
      <c r="M3" s="1">
        <v>47228.186999999998</v>
      </c>
      <c r="N3" s="1">
        <v>51265.663500000002</v>
      </c>
      <c r="O3" s="1">
        <v>54272.571799999998</v>
      </c>
      <c r="P3" s="1">
        <v>56997.91</v>
      </c>
      <c r="Q3" s="1">
        <v>60577.228999999999</v>
      </c>
      <c r="R3" s="1">
        <v>61867.171799999996</v>
      </c>
      <c r="S3" s="1">
        <v>62126.650699999998</v>
      </c>
      <c r="T3" s="1">
        <v>68997.772700000001</v>
      </c>
      <c r="U3" s="1">
        <v>87560.745800000004</v>
      </c>
      <c r="V3" s="1">
        <v>91992.942299999995</v>
      </c>
      <c r="W3" s="1">
        <v>94840.857900000003</v>
      </c>
      <c r="X3" s="1">
        <v>112801.7812</v>
      </c>
    </row>
    <row r="4" spans="1:24" ht="45" x14ac:dyDescent="0.25">
      <c r="A4" s="3" t="s">
        <v>5</v>
      </c>
      <c r="B4" s="3" t="s">
        <v>3</v>
      </c>
      <c r="C4" s="1">
        <v>30384.9467</v>
      </c>
      <c r="D4" s="1">
        <v>33127.720300000001</v>
      </c>
      <c r="E4" s="1">
        <v>35355.267599999999</v>
      </c>
      <c r="F4" s="1">
        <v>38159.336799999997</v>
      </c>
      <c r="G4" s="1">
        <v>41326.747100000001</v>
      </c>
      <c r="H4" s="1">
        <v>46158.841</v>
      </c>
      <c r="I4" s="1">
        <v>48502.220200000003</v>
      </c>
      <c r="J4" s="1">
        <v>53706.643900000003</v>
      </c>
      <c r="K4" s="1">
        <v>59778.215499999998</v>
      </c>
      <c r="L4" s="1">
        <v>65779.106</v>
      </c>
      <c r="M4" s="1">
        <v>71133.275699999998</v>
      </c>
      <c r="N4" s="1">
        <v>76420.006899999993</v>
      </c>
      <c r="O4" s="1">
        <v>82573.318499999994</v>
      </c>
      <c r="P4" s="1">
        <v>88541.209300000002</v>
      </c>
      <c r="Q4" s="1">
        <v>93931.689299999998</v>
      </c>
      <c r="R4" s="1">
        <v>100386.76330000001</v>
      </c>
      <c r="S4" s="1">
        <v>106030.2222</v>
      </c>
      <c r="T4" s="1">
        <v>103404.8266</v>
      </c>
      <c r="U4" s="1">
        <v>117718.4308</v>
      </c>
      <c r="V4" s="1">
        <v>134724.48540000001</v>
      </c>
      <c r="W4" s="1">
        <v>148684.21220000001</v>
      </c>
      <c r="X4" s="1">
        <v>156862.93520000001</v>
      </c>
    </row>
    <row r="5" spans="1:24" ht="60" x14ac:dyDescent="0.25">
      <c r="A5" s="3" t="s">
        <v>6</v>
      </c>
      <c r="B5" s="3" t="s">
        <v>3</v>
      </c>
      <c r="C5" s="1">
        <v>505.84660000000002</v>
      </c>
      <c r="D5" s="1">
        <v>518.5299</v>
      </c>
      <c r="E5" s="1">
        <v>551.1345</v>
      </c>
      <c r="F5" s="1">
        <v>592.08280000000002</v>
      </c>
      <c r="G5" s="1">
        <v>670.33799999999997</v>
      </c>
      <c r="H5" s="1">
        <v>781.0607</v>
      </c>
      <c r="I5" s="1">
        <v>887.56179999999995</v>
      </c>
      <c r="J5" s="1">
        <v>933.22379999999998</v>
      </c>
      <c r="K5" s="1">
        <v>1036.7313999999999</v>
      </c>
      <c r="L5" s="1">
        <v>1176.4168</v>
      </c>
      <c r="M5" s="1">
        <v>1303.8308</v>
      </c>
      <c r="N5" s="1">
        <v>1487.8234</v>
      </c>
      <c r="O5" s="1">
        <v>1681.0768</v>
      </c>
      <c r="P5" s="1">
        <v>1833.3149000000001</v>
      </c>
      <c r="Q5" s="1">
        <v>1940.7791999999999</v>
      </c>
      <c r="R5" s="1">
        <v>2074.674</v>
      </c>
      <c r="S5" s="1">
        <v>2245.7671</v>
      </c>
      <c r="T5" s="1">
        <v>2422.2242000000001</v>
      </c>
      <c r="U5" s="1">
        <v>2623.5637000000002</v>
      </c>
      <c r="V5" s="1">
        <v>3039.6799000000001</v>
      </c>
      <c r="W5" s="1">
        <v>3237.6228999999998</v>
      </c>
      <c r="X5" s="1">
        <v>3225.9285</v>
      </c>
    </row>
    <row r="6" spans="1:24" x14ac:dyDescent="0.25">
      <c r="A6" s="5" t="s">
        <v>7</v>
      </c>
      <c r="B6" s="5" t="s">
        <v>8</v>
      </c>
      <c r="C6" s="6">
        <f>C2+C3+C4+C5</f>
        <v>46434.052199999998</v>
      </c>
      <c r="D6" s="6">
        <f t="shared" ref="D6:X6" si="0">D2+D3+D4+D5</f>
        <v>53430.982000000004</v>
      </c>
      <c r="E6" s="6">
        <f t="shared" si="0"/>
        <v>60590.088100000001</v>
      </c>
      <c r="F6" s="6">
        <f t="shared" si="0"/>
        <v>72858.536200000002</v>
      </c>
      <c r="G6" s="6">
        <f t="shared" si="0"/>
        <v>80437.787599999996</v>
      </c>
      <c r="H6" s="6">
        <f t="shared" si="0"/>
        <v>83152.691300000006</v>
      </c>
      <c r="I6" s="6">
        <f t="shared" si="0"/>
        <v>86462.969400000002</v>
      </c>
      <c r="J6" s="6">
        <f t="shared" si="0"/>
        <v>99553.166200000007</v>
      </c>
      <c r="K6" s="6">
        <f t="shared" si="0"/>
        <v>108567.68750000001</v>
      </c>
      <c r="L6" s="6">
        <f t="shared" si="0"/>
        <v>115612.27680000001</v>
      </c>
      <c r="M6" s="6">
        <f t="shared" si="0"/>
        <v>122205.88309999999</v>
      </c>
      <c r="N6" s="6">
        <f t="shared" si="0"/>
        <v>131427.50659999999</v>
      </c>
      <c r="O6" s="6">
        <f t="shared" si="0"/>
        <v>140718.17819999999</v>
      </c>
      <c r="P6" s="6">
        <f t="shared" si="0"/>
        <v>149673.59770000001</v>
      </c>
      <c r="Q6" s="6">
        <f t="shared" si="0"/>
        <v>158894.92259999999</v>
      </c>
      <c r="R6" s="6">
        <f t="shared" si="0"/>
        <v>167247.61609999998</v>
      </c>
      <c r="S6" s="6">
        <f t="shared" si="0"/>
        <v>172828.94409999999</v>
      </c>
      <c r="T6" s="6">
        <f t="shared" si="0"/>
        <v>178523.5202</v>
      </c>
      <c r="U6" s="6">
        <f t="shared" si="0"/>
        <v>210157.77970000001</v>
      </c>
      <c r="V6" s="6">
        <f t="shared" si="0"/>
        <v>231585.0442</v>
      </c>
      <c r="W6" s="6">
        <f t="shared" si="0"/>
        <v>248852.28219999999</v>
      </c>
      <c r="X6" s="6">
        <f t="shared" si="0"/>
        <v>276130.05249999999</v>
      </c>
    </row>
    <row r="7" spans="1:24" x14ac:dyDescent="0.25">
      <c r="A7" s="5" t="s">
        <v>9</v>
      </c>
      <c r="B7" s="5" t="s">
        <v>8</v>
      </c>
      <c r="C7" s="6">
        <f>C6-C2-C5</f>
        <v>45567.386200000001</v>
      </c>
      <c r="D7" s="6">
        <f t="shared" ref="D7:X7" si="1">D6-D2-D5</f>
        <v>52434.761600000005</v>
      </c>
      <c r="E7" s="6">
        <f t="shared" si="1"/>
        <v>59547.467600000004</v>
      </c>
      <c r="F7" s="6">
        <f t="shared" si="1"/>
        <v>71733.039999999994</v>
      </c>
      <c r="G7" s="6">
        <f t="shared" si="1"/>
        <v>78778.256299999994</v>
      </c>
      <c r="H7" s="6">
        <f t="shared" si="1"/>
        <v>80962.816400000011</v>
      </c>
      <c r="I7" s="6">
        <f t="shared" si="1"/>
        <v>83940.91</v>
      </c>
      <c r="J7" s="6">
        <f t="shared" si="1"/>
        <v>96606.433199999999</v>
      </c>
      <c r="K7" s="6">
        <f t="shared" si="1"/>
        <v>105235.00800000002</v>
      </c>
      <c r="L7" s="6">
        <f t="shared" si="1"/>
        <v>112084.0183</v>
      </c>
      <c r="M7" s="6">
        <f t="shared" si="1"/>
        <v>118361.46269999999</v>
      </c>
      <c r="N7" s="6">
        <f t="shared" si="1"/>
        <v>127685.6704</v>
      </c>
      <c r="O7" s="6">
        <f t="shared" si="1"/>
        <v>136845.8903</v>
      </c>
      <c r="P7" s="6">
        <f t="shared" si="1"/>
        <v>145539.11930000002</v>
      </c>
      <c r="Q7" s="6">
        <f t="shared" si="1"/>
        <v>154508.91829999999</v>
      </c>
      <c r="R7" s="6">
        <f t="shared" si="1"/>
        <v>162253.93509999997</v>
      </c>
      <c r="S7" s="6">
        <f t="shared" si="1"/>
        <v>168156.87289999999</v>
      </c>
      <c r="T7" s="6">
        <f t="shared" si="1"/>
        <v>172402.5993</v>
      </c>
      <c r="U7" s="6">
        <f t="shared" si="1"/>
        <v>205279.17660000001</v>
      </c>
      <c r="V7" s="6">
        <f t="shared" si="1"/>
        <v>226717.42770000003</v>
      </c>
      <c r="W7" s="6">
        <f t="shared" si="1"/>
        <v>243525.07010000001</v>
      </c>
      <c r="X7" s="6">
        <f t="shared" si="1"/>
        <v>269664.71640000003</v>
      </c>
    </row>
    <row r="8" spans="1:24" x14ac:dyDescent="0.25">
      <c r="A8" s="5" t="s">
        <v>11</v>
      </c>
      <c r="B8" s="5" t="s">
        <v>10</v>
      </c>
      <c r="C8" s="7">
        <f>C3/C7</f>
        <v>0.33318653462725933</v>
      </c>
      <c r="D8" s="7">
        <f t="shared" ref="D8:X8" si="2">D3/D7</f>
        <v>0.36821071958492513</v>
      </c>
      <c r="E8" s="7">
        <f t="shared" si="2"/>
        <v>0.40626748667981977</v>
      </c>
      <c r="F8" s="7">
        <f t="shared" si="2"/>
        <v>0.46803680981595103</v>
      </c>
      <c r="G8" s="7">
        <f t="shared" si="2"/>
        <v>0.47540414016500648</v>
      </c>
      <c r="H8" s="7">
        <f t="shared" si="2"/>
        <v>0.4298760461598764</v>
      </c>
      <c r="I8" s="7">
        <f t="shared" si="2"/>
        <v>0.422186152139642</v>
      </c>
      <c r="J8" s="7">
        <f t="shared" si="2"/>
        <v>0.44406762447368769</v>
      </c>
      <c r="K8" s="7">
        <f t="shared" si="2"/>
        <v>0.4319550438956587</v>
      </c>
      <c r="L8" s="7">
        <f t="shared" si="2"/>
        <v>0.41312680435904753</v>
      </c>
      <c r="M8" s="7">
        <f t="shared" si="2"/>
        <v>0.39901658802329082</v>
      </c>
      <c r="N8" s="7">
        <f t="shared" si="2"/>
        <v>0.40149895708265787</v>
      </c>
      <c r="O8" s="7">
        <f t="shared" si="2"/>
        <v>0.39659628565403837</v>
      </c>
      <c r="P8" s="7">
        <f t="shared" si="2"/>
        <v>0.39163291817446083</v>
      </c>
      <c r="Q8" s="7">
        <f t="shared" si="2"/>
        <v>0.39206299329842637</v>
      </c>
      <c r="R8" s="7">
        <f t="shared" si="2"/>
        <v>0.38129843668734542</v>
      </c>
      <c r="S8" s="7">
        <f t="shared" si="2"/>
        <v>0.36945650587202378</v>
      </c>
      <c r="T8" s="7">
        <f t="shared" si="2"/>
        <v>0.40021306511705246</v>
      </c>
      <c r="U8" s="7">
        <f t="shared" si="2"/>
        <v>0.42654470487582813</v>
      </c>
      <c r="V8" s="7">
        <f t="shared" si="2"/>
        <v>0.40576034772998609</v>
      </c>
      <c r="W8" s="7">
        <f t="shared" si="2"/>
        <v>0.38945007945611099</v>
      </c>
      <c r="X8" s="7">
        <f t="shared" si="2"/>
        <v>0.41830382078120465</v>
      </c>
    </row>
    <row r="9" spans="1:24" x14ac:dyDescent="0.25">
      <c r="A9" s="5" t="s">
        <v>12</v>
      </c>
      <c r="B9" s="5" t="s">
        <v>8</v>
      </c>
      <c r="C9" s="7">
        <f t="shared" ref="C9:X9" si="3">C4/C7</f>
        <v>0.66681346537274067</v>
      </c>
      <c r="D9" s="7">
        <f t="shared" si="3"/>
        <v>0.63178928041507487</v>
      </c>
      <c r="E9" s="7">
        <f t="shared" si="3"/>
        <v>0.59373251332018018</v>
      </c>
      <c r="F9" s="7">
        <f t="shared" si="3"/>
        <v>0.53196319018404914</v>
      </c>
      <c r="G9" s="7">
        <f t="shared" si="3"/>
        <v>0.52459585983499368</v>
      </c>
      <c r="H9" s="7">
        <f t="shared" si="3"/>
        <v>0.57012395384012349</v>
      </c>
      <c r="I9" s="7">
        <f t="shared" si="3"/>
        <v>0.57781384786035794</v>
      </c>
      <c r="J9" s="7">
        <f t="shared" si="3"/>
        <v>0.55593237552631225</v>
      </c>
      <c r="K9" s="7">
        <f t="shared" si="3"/>
        <v>0.56804495610434114</v>
      </c>
      <c r="L9" s="7">
        <f t="shared" si="3"/>
        <v>0.58687319564095253</v>
      </c>
      <c r="M9" s="7">
        <f t="shared" si="3"/>
        <v>0.60098341197670924</v>
      </c>
      <c r="N9" s="7">
        <f t="shared" si="3"/>
        <v>0.59850104291734207</v>
      </c>
      <c r="O9" s="7">
        <f t="shared" si="3"/>
        <v>0.60340371434596163</v>
      </c>
      <c r="P9" s="7">
        <f t="shared" si="3"/>
        <v>0.608367081825539</v>
      </c>
      <c r="Q9" s="7">
        <f t="shared" si="3"/>
        <v>0.60793700670157369</v>
      </c>
      <c r="R9" s="7">
        <f t="shared" si="3"/>
        <v>0.61870156331265469</v>
      </c>
      <c r="S9" s="7">
        <f t="shared" si="3"/>
        <v>0.63054349412797628</v>
      </c>
      <c r="T9" s="7">
        <f t="shared" si="3"/>
        <v>0.59978693488294754</v>
      </c>
      <c r="U9" s="7">
        <f t="shared" si="3"/>
        <v>0.57345529512417193</v>
      </c>
      <c r="V9" s="7">
        <f t="shared" si="3"/>
        <v>0.59423965227001374</v>
      </c>
      <c r="W9" s="7">
        <f t="shared" si="3"/>
        <v>0.61054992054388901</v>
      </c>
      <c r="X9" s="7">
        <f>X4/X7</f>
        <v>0.58169617921879524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DD7CA-045E-4444-AD0A-3893BD6E08B6}">
  <dimension ref="A1:H23"/>
  <sheetViews>
    <sheetView tabSelected="1" workbookViewId="0">
      <selection activeCell="H13" sqref="H13"/>
    </sheetView>
  </sheetViews>
  <sheetFormatPr baseColWidth="10" defaultRowHeight="15" x14ac:dyDescent="0.25"/>
  <cols>
    <col min="2" max="2" width="12" bestFit="1" customWidth="1"/>
    <col min="3" max="3" width="22.5703125" customWidth="1"/>
  </cols>
  <sheetData>
    <row r="1" spans="1:8" ht="30" x14ac:dyDescent="0.25">
      <c r="A1" s="8" t="s">
        <v>13</v>
      </c>
      <c r="B1" s="8" t="s">
        <v>14</v>
      </c>
      <c r="C1" s="8" t="s">
        <v>15</v>
      </c>
      <c r="D1" s="8" t="s">
        <v>16</v>
      </c>
    </row>
    <row r="2" spans="1:8" x14ac:dyDescent="0.25">
      <c r="A2">
        <v>2003</v>
      </c>
      <c r="B2" s="9">
        <v>0.33318653462725933</v>
      </c>
      <c r="C2" s="9">
        <f>1-B2</f>
        <v>0.66681346537274067</v>
      </c>
      <c r="D2" s="10">
        <f t="shared" ref="D2:D9" si="0">C2/$C$10</f>
        <v>1.1738744587149492</v>
      </c>
    </row>
    <row r="3" spans="1:8" x14ac:dyDescent="0.25">
      <c r="A3">
        <v>2004</v>
      </c>
      <c r="B3" s="9">
        <v>0.36821071958492513</v>
      </c>
      <c r="C3" s="9">
        <f t="shared" ref="C3:C23" si="1">1-B3</f>
        <v>0.63178928041507487</v>
      </c>
      <c r="D3" s="10">
        <f t="shared" si="0"/>
        <v>1.1122170413199211</v>
      </c>
    </row>
    <row r="4" spans="1:8" x14ac:dyDescent="0.25">
      <c r="A4">
        <v>2005</v>
      </c>
      <c r="B4" s="9">
        <v>0.40626748667981977</v>
      </c>
      <c r="C4" s="9">
        <f t="shared" si="1"/>
        <v>0.59373251332018029</v>
      </c>
      <c r="D4" s="10">
        <f t="shared" si="0"/>
        <v>1.0452209934086989</v>
      </c>
    </row>
    <row r="5" spans="1:8" x14ac:dyDescent="0.25">
      <c r="A5">
        <v>2006</v>
      </c>
      <c r="B5" s="9">
        <v>0.46803680981595103</v>
      </c>
      <c r="C5" s="9">
        <f t="shared" si="1"/>
        <v>0.53196319018404892</v>
      </c>
      <c r="D5" s="10">
        <f t="shared" si="0"/>
        <v>0.93648079164765141</v>
      </c>
    </row>
    <row r="6" spans="1:8" x14ac:dyDescent="0.25">
      <c r="A6">
        <v>2007</v>
      </c>
      <c r="B6" s="9">
        <v>0.47540414016500648</v>
      </c>
      <c r="C6" s="9">
        <f t="shared" si="1"/>
        <v>0.52459585983499357</v>
      </c>
      <c r="D6" s="10">
        <f t="shared" si="0"/>
        <v>0.9235111661455071</v>
      </c>
    </row>
    <row r="7" spans="1:8" x14ac:dyDescent="0.25">
      <c r="A7">
        <v>2008</v>
      </c>
      <c r="B7" s="9">
        <v>0.4298760461598764</v>
      </c>
      <c r="C7" s="9">
        <f t="shared" si="1"/>
        <v>0.5701239538401236</v>
      </c>
      <c r="D7" s="10">
        <f t="shared" si="0"/>
        <v>1.0036599176058882</v>
      </c>
    </row>
    <row r="8" spans="1:8" x14ac:dyDescent="0.25">
      <c r="A8">
        <v>2009</v>
      </c>
      <c r="B8" s="9">
        <v>0.422186152139642</v>
      </c>
      <c r="C8" s="9">
        <f t="shared" si="1"/>
        <v>0.57781384786035805</v>
      </c>
      <c r="D8" s="10">
        <f t="shared" si="0"/>
        <v>1.0171973919511794</v>
      </c>
    </row>
    <row r="9" spans="1:8" x14ac:dyDescent="0.25">
      <c r="A9">
        <v>2010</v>
      </c>
      <c r="B9" s="9">
        <v>0.44406762447368769</v>
      </c>
      <c r="C9" s="9">
        <f t="shared" si="1"/>
        <v>0.55593237552631236</v>
      </c>
      <c r="D9" s="10">
        <f t="shared" si="0"/>
        <v>0.97867672188994137</v>
      </c>
    </row>
    <row r="10" spans="1:8" x14ac:dyDescent="0.25">
      <c r="A10">
        <v>2011</v>
      </c>
      <c r="B10" s="9">
        <v>0.4319550438956587</v>
      </c>
      <c r="C10" s="9">
        <f t="shared" si="1"/>
        <v>0.56804495610434125</v>
      </c>
      <c r="D10" s="10">
        <f>C10/$C$10</f>
        <v>1</v>
      </c>
    </row>
    <row r="11" spans="1:8" x14ac:dyDescent="0.25">
      <c r="A11">
        <v>2012</v>
      </c>
      <c r="B11" s="9">
        <v>0.41312680435904753</v>
      </c>
      <c r="C11" s="9">
        <f t="shared" si="1"/>
        <v>0.58687319564095253</v>
      </c>
      <c r="D11" s="10">
        <f t="shared" ref="D11:D23" si="2">C11/$C$10</f>
        <v>1.0331456856262498</v>
      </c>
    </row>
    <row r="12" spans="1:8" x14ac:dyDescent="0.25">
      <c r="A12">
        <v>2013</v>
      </c>
      <c r="B12" s="9">
        <v>0.39901658802329082</v>
      </c>
      <c r="C12" s="9">
        <f t="shared" si="1"/>
        <v>0.60098341197670924</v>
      </c>
      <c r="D12" s="10">
        <f t="shared" si="2"/>
        <v>1.0579856497595899</v>
      </c>
    </row>
    <row r="13" spans="1:8" x14ac:dyDescent="0.25">
      <c r="A13">
        <v>2014</v>
      </c>
      <c r="B13" s="9">
        <v>0.40149895708265787</v>
      </c>
      <c r="C13" s="9">
        <f t="shared" si="1"/>
        <v>0.59850104291734207</v>
      </c>
      <c r="D13" s="10">
        <f t="shared" si="2"/>
        <v>1.0536156275761499</v>
      </c>
      <c r="H13" s="11"/>
    </row>
    <row r="14" spans="1:8" x14ac:dyDescent="0.25">
      <c r="A14">
        <v>2015</v>
      </c>
      <c r="B14" s="9">
        <v>0.39659628565403837</v>
      </c>
      <c r="C14" s="9">
        <f t="shared" si="1"/>
        <v>0.60340371434596163</v>
      </c>
      <c r="D14" s="10">
        <f t="shared" si="2"/>
        <v>1.0622464082492893</v>
      </c>
    </row>
    <row r="15" spans="1:8" x14ac:dyDescent="0.25">
      <c r="A15">
        <v>2016</v>
      </c>
      <c r="B15" s="9">
        <v>0.39163291817446083</v>
      </c>
      <c r="C15" s="9">
        <f t="shared" si="1"/>
        <v>0.60836708182553911</v>
      </c>
      <c r="D15" s="10">
        <f t="shared" si="2"/>
        <v>1.070984039710039</v>
      </c>
    </row>
    <row r="16" spans="1:8" x14ac:dyDescent="0.25">
      <c r="A16">
        <v>2017</v>
      </c>
      <c r="B16" s="9">
        <v>0.39206299329842637</v>
      </c>
      <c r="C16" s="9">
        <f t="shared" si="1"/>
        <v>0.60793700670157369</v>
      </c>
      <c r="D16" s="10">
        <f t="shared" si="2"/>
        <v>1.0702269251201746</v>
      </c>
    </row>
    <row r="17" spans="1:4" x14ac:dyDescent="0.25">
      <c r="A17">
        <v>2018</v>
      </c>
      <c r="B17" s="9">
        <v>0.38129843668734542</v>
      </c>
      <c r="C17" s="9">
        <f t="shared" si="1"/>
        <v>0.61870156331265458</v>
      </c>
      <c r="D17" s="10">
        <f t="shared" si="2"/>
        <v>1.0891771094240796</v>
      </c>
    </row>
    <row r="18" spans="1:4" x14ac:dyDescent="0.25">
      <c r="A18">
        <v>2019</v>
      </c>
      <c r="B18" s="9">
        <v>0.36945650587202378</v>
      </c>
      <c r="C18" s="9">
        <f t="shared" si="1"/>
        <v>0.63054349412797617</v>
      </c>
      <c r="D18" s="10">
        <f t="shared" si="2"/>
        <v>1.1100239291837932</v>
      </c>
    </row>
    <row r="19" spans="1:4" x14ac:dyDescent="0.25">
      <c r="A19">
        <v>2020</v>
      </c>
      <c r="B19" s="9">
        <v>0.40021306511705246</v>
      </c>
      <c r="C19" s="9">
        <f t="shared" si="1"/>
        <v>0.59978693488294754</v>
      </c>
      <c r="D19" s="10">
        <f t="shared" si="2"/>
        <v>1.055879342713107</v>
      </c>
    </row>
    <row r="20" spans="1:4" x14ac:dyDescent="0.25">
      <c r="A20">
        <v>2021</v>
      </c>
      <c r="B20" s="9">
        <v>0.42654470487582813</v>
      </c>
      <c r="C20" s="9">
        <f t="shared" si="1"/>
        <v>0.57345529512417182</v>
      </c>
      <c r="D20" s="10">
        <f t="shared" si="2"/>
        <v>1.00952449090814</v>
      </c>
    </row>
    <row r="21" spans="1:4" x14ac:dyDescent="0.25">
      <c r="A21">
        <v>2022</v>
      </c>
      <c r="B21" s="9">
        <v>0.40576034772998609</v>
      </c>
      <c r="C21" s="9">
        <f t="shared" si="1"/>
        <v>0.59423965227001396</v>
      </c>
      <c r="D21" s="10">
        <f t="shared" si="2"/>
        <v>1.0461137730107071</v>
      </c>
    </row>
    <row r="22" spans="1:4" x14ac:dyDescent="0.25">
      <c r="A22">
        <v>2023</v>
      </c>
      <c r="B22" s="9">
        <v>0.38945007945611099</v>
      </c>
      <c r="C22" s="9">
        <f t="shared" si="1"/>
        <v>0.61054992054388901</v>
      </c>
      <c r="D22" s="10">
        <f t="shared" si="2"/>
        <v>1.0748267614786113</v>
      </c>
    </row>
    <row r="23" spans="1:4" x14ac:dyDescent="0.25">
      <c r="A23">
        <v>2024</v>
      </c>
      <c r="B23" s="9">
        <v>0.41830382078120465</v>
      </c>
      <c r="C23" s="9">
        <f t="shared" si="1"/>
        <v>0.58169617921879535</v>
      </c>
      <c r="D23" s="10">
        <f t="shared" si="2"/>
        <v>1.0240319414295558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Canasta</vt:lpstr>
      <vt:lpstr>ProfitShare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Diego Polanco</cp:lastModifiedBy>
  <dcterms:created xsi:type="dcterms:W3CDTF">2026-04-02T21:10:39Z</dcterms:created>
  <dcterms:modified xsi:type="dcterms:W3CDTF">2026-04-02T21:17:08Z</dcterms:modified>
</cp:coreProperties>
</file>